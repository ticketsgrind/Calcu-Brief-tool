
<file path=[Content_Types].xml><?xml version="1.0" encoding="utf-8"?>
<Types xmlns="http://schemas.openxmlformats.org/package/2006/content-types">
  <Default Extension="ashx" ContentType="image/gif"/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fileSharing readOnlyRecommended="1"/>
  <workbookPr/>
  <mc:AlternateContent xmlns:mc="http://schemas.openxmlformats.org/markup-compatibility/2006">
    <mc:Choice Requires="x15">
      <x15ac:absPath xmlns:x15ac="http://schemas.microsoft.com/office/spreadsheetml/2010/11/ac" url="https://vincienergies.sharepoint.com/sites/ttc-Schilt/Shared Documents/BU SA/Projecten/2026/01 - Calculatieblad/"/>
    </mc:Choice>
  </mc:AlternateContent>
  <xr:revisionPtr revIDLastSave="0" documentId="13_ncr:1_{054ABCCE-B72A-4AF8-9E89-642D3DE024FF}" xr6:coauthVersionLast="47" xr6:coauthVersionMax="47" xr10:uidLastSave="{00000000-0000-0000-0000-000000000000}"/>
  <bookViews>
    <workbookView xWindow="-120" yWindow="-120" windowWidth="29040" windowHeight="15720" xr2:uid="{AE7ABF56-AB6A-469C-B9FA-C81A6504316E}"/>
  </bookViews>
  <sheets>
    <sheet name="Info" sheetId="11" r:id="rId1"/>
    <sheet name="Mat. lijst" sheetId="17" r:id="rId2"/>
    <sheet name="Budget voor admin" sheetId="18" r:id="rId3"/>
    <sheet name="Quotation sheet" sheetId="2" r:id="rId4"/>
    <sheet name="Calculatie" sheetId="3" r:id="rId5"/>
    <sheet name="YIMM" sheetId="4" state="hidden" r:id="rId6"/>
    <sheet name="Soort voorraad" sheetId="10" state="hidden" r:id="rId7"/>
    <sheet name="DGC ledenlijst" sheetId="9" r:id="rId8"/>
    <sheet name="Berek. harde koelleiding" sheetId="12" r:id="rId9"/>
    <sheet name="Berek. kabelgoot" sheetId="13" r:id="rId10"/>
    <sheet name="Berek. condensafvoerleiding " sheetId="14" r:id="rId11"/>
    <sheet name="Berek. PVC dakleidingen" sheetId="15" r:id="rId12"/>
    <sheet name="Parkeertarieven" sheetId="5" state="hidden" r:id="rId13"/>
    <sheet name="Omzetbonus+Provisie" sheetId="6" state="hidden" r:id="rId14"/>
    <sheet name="Systemen" sheetId="7" state="hidden" r:id="rId15"/>
    <sheet name="PL's" sheetId="16" state="hidden" r:id="rId16"/>
  </sheets>
  <definedNames>
    <definedName name="_xlnm._FilterDatabase" localSheetId="15" hidden="1">'PL''s'!$A$1:$A$6</definedName>
    <definedName name="_xlnm._FilterDatabase" localSheetId="5" hidden="1">YIMM!$A$1:$P$475</definedName>
    <definedName name="_xlnm.Print_Area" localSheetId="1">'Mat. lijst'!$A$1:$L$99</definedName>
    <definedName name="SAPBEXrevision" hidden="1">5</definedName>
    <definedName name="SAPBEXsysID" hidden="1">"PBP"</definedName>
    <definedName name="SAPBEXwbID" hidden="1">"3P5IDOAVV6WWXFIH2Z0K968K7"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1" i="3" l="1"/>
  <c r="E131" i="3"/>
  <c r="F131" i="3"/>
  <c r="H131" i="3" s="1"/>
  <c r="D119" i="3"/>
  <c r="E119" i="3"/>
  <c r="F119" i="3"/>
  <c r="H119" i="3" s="1"/>
  <c r="D109" i="3"/>
  <c r="E109" i="3"/>
  <c r="F109" i="3"/>
  <c r="H109" i="3" s="1"/>
  <c r="C396" i="3"/>
  <c r="B396" i="3"/>
  <c r="C375" i="3"/>
  <c r="B375" i="3"/>
  <c r="A339" i="3"/>
  <c r="A336" i="3"/>
  <c r="A333" i="3"/>
  <c r="A330" i="3"/>
  <c r="F257" i="3" l="1"/>
  <c r="H257" i="3" s="1"/>
  <c r="E257" i="3"/>
  <c r="F256" i="3"/>
  <c r="H256" i="3" s="1"/>
  <c r="E256" i="3"/>
  <c r="F249" i="3"/>
  <c r="H249" i="3" s="1"/>
  <c r="E249" i="3"/>
  <c r="F248" i="3"/>
  <c r="H248" i="3" s="1"/>
  <c r="E248" i="3"/>
  <c r="F242" i="3"/>
  <c r="H242" i="3" s="1"/>
  <c r="E242" i="3"/>
  <c r="F241" i="3"/>
  <c r="H241" i="3" s="1"/>
  <c r="E241" i="3"/>
  <c r="F240" i="3"/>
  <c r="H240" i="3" s="1"/>
  <c r="E240" i="3"/>
  <c r="F234" i="3"/>
  <c r="H234" i="3" s="1"/>
  <c r="E234" i="3"/>
  <c r="F233" i="3"/>
  <c r="H233" i="3" s="1"/>
  <c r="E233" i="3"/>
  <c r="F232" i="3"/>
  <c r="H232" i="3" s="1"/>
  <c r="E232" i="3"/>
  <c r="F231" i="3"/>
  <c r="H231" i="3" s="1"/>
  <c r="E231" i="3"/>
  <c r="F230" i="3"/>
  <c r="H230" i="3" s="1"/>
  <c r="E230" i="3"/>
  <c r="F229" i="3"/>
  <c r="H229" i="3" s="1"/>
  <c r="E229" i="3"/>
  <c r="F223" i="3"/>
  <c r="H223" i="3" s="1"/>
  <c r="E223" i="3"/>
  <c r="F222" i="3"/>
  <c r="E222" i="3"/>
  <c r="F221" i="3"/>
  <c r="H221" i="3" s="1"/>
  <c r="E221" i="3"/>
  <c r="F220" i="3"/>
  <c r="H220" i="3" s="1"/>
  <c r="E220" i="3"/>
  <c r="F219" i="3"/>
  <c r="H219" i="3" s="1"/>
  <c r="E219" i="3"/>
  <c r="F218" i="3"/>
  <c r="H218" i="3" s="1"/>
  <c r="E218" i="3"/>
  <c r="F217" i="3"/>
  <c r="H217" i="3" s="1"/>
  <c r="E217" i="3"/>
  <c r="F215" i="3"/>
  <c r="E215" i="3"/>
  <c r="F214" i="3"/>
  <c r="E214" i="3"/>
  <c r="F213" i="3"/>
  <c r="H213" i="3" s="1"/>
  <c r="E213" i="3"/>
  <c r="F212" i="3"/>
  <c r="H212" i="3" s="1"/>
  <c r="E212" i="3"/>
  <c r="F211" i="3"/>
  <c r="H211" i="3" s="1"/>
  <c r="E211" i="3"/>
  <c r="F210" i="3"/>
  <c r="H210" i="3" s="1"/>
  <c r="E210" i="3"/>
  <c r="F209" i="3"/>
  <c r="H209" i="3" s="1"/>
  <c r="E209" i="3"/>
  <c r="F207" i="3"/>
  <c r="H207" i="3" s="1"/>
  <c r="E207" i="3"/>
  <c r="F206" i="3"/>
  <c r="E206" i="3"/>
  <c r="F205" i="3"/>
  <c r="H205" i="3" s="1"/>
  <c r="E205" i="3"/>
  <c r="F204" i="3"/>
  <c r="H204" i="3" s="1"/>
  <c r="E204" i="3"/>
  <c r="F203" i="3"/>
  <c r="H203" i="3" s="1"/>
  <c r="E203" i="3"/>
  <c r="F202" i="3"/>
  <c r="H202" i="3" s="1"/>
  <c r="E202" i="3"/>
  <c r="F201" i="3"/>
  <c r="H201" i="3" s="1"/>
  <c r="E201" i="3"/>
  <c r="F200" i="3"/>
  <c r="H200" i="3" s="1"/>
  <c r="E200" i="3"/>
  <c r="F198" i="3"/>
  <c r="E198" i="3"/>
  <c r="F197" i="3"/>
  <c r="H197" i="3" s="1"/>
  <c r="E197" i="3"/>
  <c r="F196" i="3"/>
  <c r="H196" i="3" s="1"/>
  <c r="E196" i="3"/>
  <c r="F195" i="3"/>
  <c r="H195" i="3" s="1"/>
  <c r="E195" i="3"/>
  <c r="F194" i="3"/>
  <c r="H194" i="3" s="1"/>
  <c r="E194" i="3"/>
  <c r="F193" i="3"/>
  <c r="H193" i="3" s="1"/>
  <c r="E193" i="3"/>
  <c r="F192" i="3"/>
  <c r="H192" i="3" s="1"/>
  <c r="E192" i="3"/>
  <c r="F191" i="3"/>
  <c r="E191" i="3"/>
  <c r="F190" i="3"/>
  <c r="H190" i="3" s="1"/>
  <c r="E190" i="3"/>
  <c r="F189" i="3"/>
  <c r="H189" i="3" s="1"/>
  <c r="E189" i="3"/>
  <c r="F188" i="3"/>
  <c r="H188" i="3" s="1"/>
  <c r="E188" i="3"/>
  <c r="F187" i="3"/>
  <c r="H187" i="3" s="1"/>
  <c r="E187" i="3"/>
  <c r="F185" i="3"/>
  <c r="H185" i="3" s="1"/>
  <c r="E185" i="3"/>
  <c r="F184" i="3"/>
  <c r="H184" i="3" s="1"/>
  <c r="E184" i="3"/>
  <c r="F183" i="3"/>
  <c r="E183" i="3"/>
  <c r="F182" i="3"/>
  <c r="E182" i="3"/>
  <c r="F181" i="3"/>
  <c r="H181" i="3" s="1"/>
  <c r="E181" i="3"/>
  <c r="F180" i="3"/>
  <c r="H180" i="3" s="1"/>
  <c r="E180" i="3"/>
  <c r="F179" i="3"/>
  <c r="E179" i="3"/>
  <c r="F178" i="3"/>
  <c r="H178" i="3" s="1"/>
  <c r="E178" i="3"/>
  <c r="F177" i="3"/>
  <c r="H177" i="3" s="1"/>
  <c r="E177" i="3"/>
  <c r="F176" i="3"/>
  <c r="E176" i="3"/>
  <c r="F175" i="3"/>
  <c r="H175" i="3" s="1"/>
  <c r="E175" i="3"/>
  <c r="F174" i="3"/>
  <c r="H174" i="3" s="1"/>
  <c r="E174" i="3"/>
  <c r="F173" i="3"/>
  <c r="H173" i="3" s="1"/>
  <c r="E173" i="3"/>
  <c r="F171" i="3"/>
  <c r="H171" i="3" s="1"/>
  <c r="E171" i="3"/>
  <c r="F170" i="3"/>
  <c r="H170" i="3" s="1"/>
  <c r="E170" i="3"/>
  <c r="F169" i="3"/>
  <c r="H169" i="3" s="1"/>
  <c r="E169" i="3"/>
  <c r="F168" i="3"/>
  <c r="E168" i="3"/>
  <c r="F167" i="3"/>
  <c r="H167" i="3" s="1"/>
  <c r="E167" i="3"/>
  <c r="F166" i="3"/>
  <c r="H166" i="3" s="1"/>
  <c r="E166" i="3"/>
  <c r="F165" i="3"/>
  <c r="H165" i="3" s="1"/>
  <c r="E165" i="3"/>
  <c r="F164" i="3"/>
  <c r="H164" i="3" s="1"/>
  <c r="E164" i="3"/>
  <c r="F163" i="3"/>
  <c r="H163" i="3" s="1"/>
  <c r="E163" i="3"/>
  <c r="F162" i="3"/>
  <c r="H162" i="3" s="1"/>
  <c r="E162" i="3"/>
  <c r="F161" i="3"/>
  <c r="H161" i="3" s="1"/>
  <c r="E161" i="3"/>
  <c r="F160" i="3"/>
  <c r="H160" i="3" s="1"/>
  <c r="E160" i="3"/>
  <c r="F159" i="3"/>
  <c r="H159" i="3" s="1"/>
  <c r="E159" i="3"/>
  <c r="F158" i="3"/>
  <c r="H158" i="3" s="1"/>
  <c r="E158" i="3"/>
  <c r="F157" i="3"/>
  <c r="H157" i="3" s="1"/>
  <c r="E157" i="3"/>
  <c r="F156" i="3"/>
  <c r="H156" i="3" s="1"/>
  <c r="E156" i="3"/>
  <c r="F150" i="3"/>
  <c r="H150" i="3" s="1"/>
  <c r="E150" i="3"/>
  <c r="F149" i="3"/>
  <c r="H149" i="3" s="1"/>
  <c r="E149" i="3"/>
  <c r="F148" i="3"/>
  <c r="H148" i="3" s="1"/>
  <c r="E148" i="3"/>
  <c r="F147" i="3"/>
  <c r="H147" i="3" s="1"/>
  <c r="E147" i="3"/>
  <c r="F146" i="3"/>
  <c r="H146" i="3" s="1"/>
  <c r="E146" i="3"/>
  <c r="F145" i="3"/>
  <c r="H145" i="3" s="1"/>
  <c r="E145" i="3"/>
  <c r="F144" i="3"/>
  <c r="H144" i="3" s="1"/>
  <c r="E144" i="3"/>
  <c r="F143" i="3"/>
  <c r="H143" i="3" s="1"/>
  <c r="E143" i="3"/>
  <c r="F142" i="3"/>
  <c r="E142" i="3"/>
  <c r="F141" i="3"/>
  <c r="H141" i="3" s="1"/>
  <c r="E141" i="3"/>
  <c r="F140" i="3"/>
  <c r="H140" i="3" s="1"/>
  <c r="E140" i="3"/>
  <c r="F139" i="3"/>
  <c r="H139" i="3" s="1"/>
  <c r="E139" i="3"/>
  <c r="F138" i="3"/>
  <c r="H138" i="3" s="1"/>
  <c r="E138" i="3"/>
  <c r="F137" i="3"/>
  <c r="H137" i="3" s="1"/>
  <c r="E137" i="3"/>
  <c r="F130" i="3"/>
  <c r="H130" i="3" s="1"/>
  <c r="E130" i="3"/>
  <c r="F129" i="3"/>
  <c r="H129" i="3" s="1"/>
  <c r="E129" i="3"/>
  <c r="F128" i="3"/>
  <c r="H128" i="3" s="1"/>
  <c r="E128" i="3"/>
  <c r="F127" i="3"/>
  <c r="H127" i="3" s="1"/>
  <c r="E127" i="3"/>
  <c r="F126" i="3"/>
  <c r="H126" i="3" s="1"/>
  <c r="E126" i="3"/>
  <c r="F122" i="3"/>
  <c r="H122" i="3" s="1"/>
  <c r="E122" i="3"/>
  <c r="F121" i="3"/>
  <c r="H121" i="3" s="1"/>
  <c r="E121" i="3"/>
  <c r="F120" i="3"/>
  <c r="H120" i="3" s="1"/>
  <c r="E120" i="3"/>
  <c r="F118" i="3"/>
  <c r="H118" i="3" s="1"/>
  <c r="E118" i="3"/>
  <c r="F117" i="3"/>
  <c r="H117" i="3" s="1"/>
  <c r="E117" i="3"/>
  <c r="F116" i="3"/>
  <c r="H116" i="3" s="1"/>
  <c r="E116" i="3"/>
  <c r="F115" i="3"/>
  <c r="H115" i="3" s="1"/>
  <c r="E115" i="3"/>
  <c r="F114" i="3"/>
  <c r="H114" i="3" s="1"/>
  <c r="E114" i="3"/>
  <c r="F113" i="3"/>
  <c r="H113" i="3" s="1"/>
  <c r="E113" i="3"/>
  <c r="F112" i="3"/>
  <c r="H112" i="3" s="1"/>
  <c r="E112" i="3"/>
  <c r="F111" i="3"/>
  <c r="H111" i="3" s="1"/>
  <c r="E111" i="3"/>
  <c r="F110" i="3"/>
  <c r="H110" i="3" s="1"/>
  <c r="E110" i="3"/>
  <c r="F108" i="3"/>
  <c r="H108" i="3" s="1"/>
  <c r="E108" i="3"/>
  <c r="E103" i="3"/>
  <c r="F103" i="3"/>
  <c r="H103" i="3" s="1"/>
  <c r="E104" i="3"/>
  <c r="F104" i="3"/>
  <c r="H104" i="3" s="1"/>
  <c r="E105" i="3"/>
  <c r="F105" i="3"/>
  <c r="H105" i="3" s="1"/>
  <c r="F102" i="3"/>
  <c r="H102" i="3" s="1"/>
  <c r="E102" i="3"/>
  <c r="E79" i="3"/>
  <c r="F79" i="3"/>
  <c r="H79" i="3" s="1"/>
  <c r="E80" i="3"/>
  <c r="F80" i="3"/>
  <c r="H80" i="3" s="1"/>
  <c r="E81" i="3"/>
  <c r="F81" i="3"/>
  <c r="H81" i="3" s="1"/>
  <c r="E82" i="3"/>
  <c r="F82" i="3"/>
  <c r="H82" i="3" s="1"/>
  <c r="E83" i="3"/>
  <c r="F83" i="3"/>
  <c r="H83" i="3" s="1"/>
  <c r="E84" i="3"/>
  <c r="F84" i="3"/>
  <c r="H84" i="3" s="1"/>
  <c r="E85" i="3"/>
  <c r="F85" i="3"/>
  <c r="H85" i="3" s="1"/>
  <c r="E86" i="3"/>
  <c r="F86" i="3"/>
  <c r="H86" i="3" s="1"/>
  <c r="E87" i="3"/>
  <c r="F87" i="3"/>
  <c r="F78" i="3"/>
  <c r="H78" i="3" s="1"/>
  <c r="E78" i="3"/>
  <c r="D215" i="3"/>
  <c r="C388" i="3"/>
  <c r="B388" i="3"/>
  <c r="B367" i="3"/>
  <c r="C367" i="3"/>
  <c r="F107" i="3"/>
  <c r="H107" i="3" s="1"/>
  <c r="F106" i="3"/>
  <c r="H106" i="3" s="1"/>
  <c r="O59" i="12"/>
  <c r="O58" i="12"/>
  <c r="O57" i="12"/>
  <c r="O56" i="12"/>
  <c r="O53" i="12"/>
  <c r="O52" i="12"/>
  <c r="O51" i="12"/>
  <c r="O50" i="12"/>
  <c r="O49" i="12"/>
  <c r="N44" i="12"/>
  <c r="N51" i="12" s="1"/>
  <c r="K44" i="12"/>
  <c r="K42" i="12"/>
  <c r="I42" i="12"/>
  <c r="I53" i="12" s="1"/>
  <c r="F42" i="12"/>
  <c r="N41" i="12"/>
  <c r="N59" i="12" s="1"/>
  <c r="K41" i="12"/>
  <c r="I41" i="12"/>
  <c r="F41" i="12"/>
  <c r="N34" i="12"/>
  <c r="O34" i="12" s="1"/>
  <c r="I34" i="12"/>
  <c r="N33" i="12"/>
  <c r="O33" i="12" s="1"/>
  <c r="I33" i="12"/>
  <c r="N32" i="12"/>
  <c r="O32" i="12" s="1"/>
  <c r="I32" i="12"/>
  <c r="O31" i="12"/>
  <c r="N31" i="12"/>
  <c r="I31" i="12"/>
  <c r="N30" i="12"/>
  <c r="O30" i="12" s="1"/>
  <c r="I30" i="12"/>
  <c r="N29" i="12"/>
  <c r="O29" i="12" s="1"/>
  <c r="I29" i="12"/>
  <c r="N26" i="12"/>
  <c r="O26" i="12" s="1"/>
  <c r="I26" i="12"/>
  <c r="N25" i="12"/>
  <c r="O25" i="12" s="1"/>
  <c r="I25" i="12"/>
  <c r="N24" i="12"/>
  <c r="O24" i="12" s="1"/>
  <c r="I24" i="12"/>
  <c r="N23" i="12"/>
  <c r="O23" i="12" s="1"/>
  <c r="I23" i="12"/>
  <c r="N22" i="12"/>
  <c r="O22" i="12" s="1"/>
  <c r="I22" i="12"/>
  <c r="N21" i="12"/>
  <c r="O21" i="12" s="1"/>
  <c r="I21" i="12"/>
  <c r="N18" i="12"/>
  <c r="O18" i="12" s="1"/>
  <c r="I18" i="12"/>
  <c r="O17" i="12"/>
  <c r="N17" i="12"/>
  <c r="I17" i="12"/>
  <c r="N16" i="12"/>
  <c r="O16" i="12" s="1"/>
  <c r="I16" i="12"/>
  <c r="F43" i="12" s="1"/>
  <c r="N15" i="12"/>
  <c r="O15" i="12" s="1"/>
  <c r="I15" i="12"/>
  <c r="N12" i="12"/>
  <c r="N45" i="12" s="1"/>
  <c r="I12" i="12"/>
  <c r="I45" i="12" s="1"/>
  <c r="O11" i="12"/>
  <c r="N11" i="12"/>
  <c r="I11" i="12"/>
  <c r="I44" i="12" s="1"/>
  <c r="I51" i="12" s="1"/>
  <c r="N10" i="12"/>
  <c r="N43" i="12" s="1"/>
  <c r="I10" i="12"/>
  <c r="I43" i="12" s="1"/>
  <c r="N9" i="12"/>
  <c r="N42" i="12" s="1"/>
  <c r="N53" i="12" s="1"/>
  <c r="I9" i="12"/>
  <c r="N8" i="12"/>
  <c r="O8" i="12" s="1"/>
  <c r="I8" i="12"/>
  <c r="N7" i="12"/>
  <c r="N40" i="12" s="1"/>
  <c r="I7" i="12"/>
  <c r="I40" i="12" s="1"/>
  <c r="B382" i="3"/>
  <c r="B381" i="3"/>
  <c r="B361" i="3"/>
  <c r="B360" i="3"/>
  <c r="B13" i="17"/>
  <c r="D209" i="3"/>
  <c r="D210" i="3"/>
  <c r="D211" i="3"/>
  <c r="D212" i="3"/>
  <c r="D213" i="3"/>
  <c r="D214" i="3"/>
  <c r="H214" i="3"/>
  <c r="D217" i="3"/>
  <c r="D218" i="3"/>
  <c r="D219" i="3"/>
  <c r="D220" i="3"/>
  <c r="D221" i="3"/>
  <c r="D222" i="3"/>
  <c r="H222" i="3"/>
  <c r="D223" i="3"/>
  <c r="A470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268" i="3"/>
  <c r="H268" i="3" s="1"/>
  <c r="A266" i="3"/>
  <c r="H266" i="3" s="1"/>
  <c r="H292" i="3"/>
  <c r="H297" i="3"/>
  <c r="H298" i="3"/>
  <c r="H299" i="3"/>
  <c r="H277" i="3"/>
  <c r="H279" i="3"/>
  <c r="H281" i="3"/>
  <c r="H284" i="3"/>
  <c r="H285" i="3"/>
  <c r="H286" i="3"/>
  <c r="H287" i="3"/>
  <c r="H290" i="3"/>
  <c r="H274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6" i="3"/>
  <c r="H295" i="3"/>
  <c r="H294" i="3"/>
  <c r="H293" i="3"/>
  <c r="H291" i="3"/>
  <c r="H289" i="3"/>
  <c r="H288" i="3"/>
  <c r="H283" i="3"/>
  <c r="H282" i="3"/>
  <c r="H280" i="3"/>
  <c r="H278" i="3"/>
  <c r="H276" i="3"/>
  <c r="H275" i="3"/>
  <c r="B364" i="3"/>
  <c r="H339" i="3"/>
  <c r="B357" i="3"/>
  <c r="B358" i="3"/>
  <c r="B378" i="3"/>
  <c r="B379" i="3"/>
  <c r="B344" i="3"/>
  <c r="B345" i="3"/>
  <c r="D184" i="3"/>
  <c r="A453" i="4"/>
  <c r="A454" i="4"/>
  <c r="A455" i="4"/>
  <c r="A456" i="4"/>
  <c r="A457" i="4"/>
  <c r="H263" i="3"/>
  <c r="H262" i="3"/>
  <c r="H261" i="3"/>
  <c r="H253" i="3"/>
  <c r="H252" i="3"/>
  <c r="H251" i="3"/>
  <c r="H245" i="3"/>
  <c r="H244" i="3"/>
  <c r="H243" i="3"/>
  <c r="H237" i="3"/>
  <c r="H236" i="3"/>
  <c r="H235" i="3"/>
  <c r="H226" i="3"/>
  <c r="H225" i="3"/>
  <c r="H224" i="3"/>
  <c r="H153" i="3"/>
  <c r="H152" i="3"/>
  <c r="H151" i="3"/>
  <c r="H134" i="3"/>
  <c r="H133" i="3"/>
  <c r="H132" i="3"/>
  <c r="H90" i="3"/>
  <c r="H89" i="3"/>
  <c r="H88" i="3"/>
  <c r="H320" i="3"/>
  <c r="H321" i="3"/>
  <c r="H322" i="3"/>
  <c r="H323" i="3"/>
  <c r="H324" i="3"/>
  <c r="H63" i="3"/>
  <c r="H64" i="3"/>
  <c r="H65" i="3"/>
  <c r="H66" i="3"/>
  <c r="H67" i="3"/>
  <c r="H68" i="3"/>
  <c r="H42" i="3"/>
  <c r="H43" i="3"/>
  <c r="H44" i="3"/>
  <c r="H45" i="3"/>
  <c r="H46" i="3"/>
  <c r="H47" i="3"/>
  <c r="H411" i="3"/>
  <c r="H410" i="3"/>
  <c r="H206" i="3"/>
  <c r="H198" i="3"/>
  <c r="H191" i="3"/>
  <c r="H183" i="3"/>
  <c r="H182" i="3"/>
  <c r="H179" i="3"/>
  <c r="H176" i="3"/>
  <c r="H168" i="3"/>
  <c r="H142" i="3"/>
  <c r="D160" i="3"/>
  <c r="D159" i="3"/>
  <c r="D158" i="3"/>
  <c r="D157" i="3"/>
  <c r="D156" i="3"/>
  <c r="D204" i="3"/>
  <c r="F443" i="3"/>
  <c r="C3" i="2"/>
  <c r="C389" i="3"/>
  <c r="B389" i="3"/>
  <c r="C387" i="3"/>
  <c r="B387" i="3"/>
  <c r="C385" i="3"/>
  <c r="B385" i="3"/>
  <c r="C384" i="3"/>
  <c r="B384" i="3"/>
  <c r="C383" i="3"/>
  <c r="B383" i="3"/>
  <c r="C382" i="3"/>
  <c r="C381" i="3"/>
  <c r="C379" i="3"/>
  <c r="C378" i="3"/>
  <c r="B368" i="3"/>
  <c r="B366" i="3"/>
  <c r="B363" i="3"/>
  <c r="B362" i="3"/>
  <c r="C363" i="3"/>
  <c r="C362" i="3"/>
  <c r="C361" i="3"/>
  <c r="C360" i="3"/>
  <c r="C357" i="3"/>
  <c r="C358" i="3"/>
  <c r="F377" i="3"/>
  <c r="F356" i="3"/>
  <c r="F343" i="3"/>
  <c r="F336" i="3"/>
  <c r="F333" i="3"/>
  <c r="F330" i="3"/>
  <c r="C368" i="3"/>
  <c r="C366" i="3"/>
  <c r="A87" i="3"/>
  <c r="B16" i="18"/>
  <c r="B6" i="3"/>
  <c r="L21" i="2"/>
  <c r="R21" i="2" s="1"/>
  <c r="C364" i="3"/>
  <c r="C344" i="3"/>
  <c r="H326" i="3"/>
  <c r="H325" i="3"/>
  <c r="H71" i="3"/>
  <c r="H70" i="3"/>
  <c r="H69" i="3"/>
  <c r="H62" i="3"/>
  <c r="H51" i="3"/>
  <c r="H50" i="3"/>
  <c r="H49" i="3"/>
  <c r="H48" i="3"/>
  <c r="I80" i="2"/>
  <c r="H260" i="3"/>
  <c r="H259" i="3"/>
  <c r="H258" i="3"/>
  <c r="R74" i="2"/>
  <c r="B17" i="18"/>
  <c r="C39" i="2"/>
  <c r="C38" i="2"/>
  <c r="C37" i="2"/>
  <c r="C36" i="2"/>
  <c r="C35" i="2"/>
  <c r="C34" i="2"/>
  <c r="C33" i="2"/>
  <c r="C32" i="2"/>
  <c r="C31" i="2"/>
  <c r="C30" i="2"/>
  <c r="H319" i="3"/>
  <c r="H318" i="3"/>
  <c r="H317" i="3"/>
  <c r="A273" i="3"/>
  <c r="A271" i="3"/>
  <c r="H271" i="3" s="1"/>
  <c r="H272" i="3"/>
  <c r="H270" i="3"/>
  <c r="H269" i="3"/>
  <c r="H423" i="3"/>
  <c r="H434" i="3"/>
  <c r="B5" i="3"/>
  <c r="B380" i="3" s="1"/>
  <c r="F125" i="3"/>
  <c r="H125" i="3" s="1"/>
  <c r="I44" i="15"/>
  <c r="H44" i="15"/>
  <c r="G44" i="15"/>
  <c r="I23" i="15"/>
  <c r="I17" i="15"/>
  <c r="I14" i="15"/>
  <c r="I11" i="15"/>
  <c r="I8" i="15"/>
  <c r="F44" i="15"/>
  <c r="J44" i="15"/>
  <c r="J12" i="2"/>
  <c r="J6" i="2"/>
  <c r="B7" i="17" s="1"/>
  <c r="J7" i="2"/>
  <c r="B9" i="17" s="1"/>
  <c r="H61" i="3"/>
  <c r="H60" i="3"/>
  <c r="H41" i="3"/>
  <c r="H40" i="3"/>
  <c r="H59" i="3"/>
  <c r="H58" i="3"/>
  <c r="H57" i="3"/>
  <c r="H409" i="3"/>
  <c r="H428" i="3"/>
  <c r="H427" i="3"/>
  <c r="H426" i="3"/>
  <c r="H425" i="3"/>
  <c r="H424" i="3"/>
  <c r="H422" i="3"/>
  <c r="H402" i="3"/>
  <c r="H401" i="3"/>
  <c r="H414" i="3"/>
  <c r="H416" i="3"/>
  <c r="H415" i="3"/>
  <c r="H413" i="3"/>
  <c r="H412" i="3"/>
  <c r="C345" i="3"/>
  <c r="F124" i="3"/>
  <c r="H124" i="3" s="1"/>
  <c r="I33" i="14"/>
  <c r="I30" i="14"/>
  <c r="I27" i="14"/>
  <c r="I35" i="14"/>
  <c r="I44" i="14"/>
  <c r="I21" i="14"/>
  <c r="H44" i="14"/>
  <c r="I15" i="14"/>
  <c r="G44" i="14"/>
  <c r="I8" i="14"/>
  <c r="F44" i="14"/>
  <c r="F123" i="3"/>
  <c r="H123" i="3" s="1"/>
  <c r="I8" i="13"/>
  <c r="I44" i="13"/>
  <c r="G44" i="13"/>
  <c r="I14" i="13"/>
  <c r="I11" i="13"/>
  <c r="H44" i="13"/>
  <c r="F44" i="13"/>
  <c r="J44" i="13"/>
  <c r="J44" i="1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H250" i="3"/>
  <c r="D128" i="3"/>
  <c r="D127" i="3"/>
  <c r="D126" i="3"/>
  <c r="D87" i="3"/>
  <c r="D120" i="3"/>
  <c r="D130" i="3"/>
  <c r="D122" i="3"/>
  <c r="D121" i="3"/>
  <c r="D81" i="3"/>
  <c r="D257" i="3"/>
  <c r="D203" i="3"/>
  <c r="D201" i="3"/>
  <c r="D200" i="3"/>
  <c r="D202" i="3"/>
  <c r="D198" i="3"/>
  <c r="D86" i="3"/>
  <c r="D85" i="3"/>
  <c r="D197" i="3"/>
  <c r="D84" i="3"/>
  <c r="D83" i="3"/>
  <c r="D82" i="3"/>
  <c r="D256" i="3"/>
  <c r="D129" i="3"/>
  <c r="D249" i="3"/>
  <c r="D248" i="3"/>
  <c r="D242" i="3"/>
  <c r="D241" i="3"/>
  <c r="D240" i="3"/>
  <c r="D234" i="3"/>
  <c r="D233" i="3"/>
  <c r="D232" i="3"/>
  <c r="D231" i="3"/>
  <c r="D230" i="3"/>
  <c r="D229" i="3"/>
  <c r="D80" i="3"/>
  <c r="D161" i="3"/>
  <c r="D162" i="3"/>
  <c r="D163" i="3"/>
  <c r="D164" i="3"/>
  <c r="D165" i="3"/>
  <c r="D166" i="3"/>
  <c r="D167" i="3"/>
  <c r="D168" i="3"/>
  <c r="D169" i="3"/>
  <c r="D170" i="3"/>
  <c r="D171" i="3"/>
  <c r="D173" i="3"/>
  <c r="D174" i="3"/>
  <c r="D175" i="3"/>
  <c r="D176" i="3"/>
  <c r="D177" i="3"/>
  <c r="D178" i="3"/>
  <c r="D179" i="3"/>
  <c r="D180" i="3"/>
  <c r="D181" i="3"/>
  <c r="D182" i="3"/>
  <c r="D183" i="3"/>
  <c r="D185" i="3"/>
  <c r="D187" i="3"/>
  <c r="D188" i="3"/>
  <c r="D189" i="3"/>
  <c r="D190" i="3"/>
  <c r="D191" i="3"/>
  <c r="D192" i="3"/>
  <c r="D193" i="3"/>
  <c r="D194" i="3"/>
  <c r="D195" i="3"/>
  <c r="D196" i="3"/>
  <c r="D148" i="3"/>
  <c r="D150" i="3"/>
  <c r="D149" i="3"/>
  <c r="D147" i="3"/>
  <c r="D145" i="3"/>
  <c r="D146" i="3"/>
  <c r="D144" i="3"/>
  <c r="D143" i="3"/>
  <c r="D142" i="3"/>
  <c r="D141" i="3"/>
  <c r="D140" i="3"/>
  <c r="D139" i="3"/>
  <c r="D138" i="3"/>
  <c r="D137" i="3"/>
  <c r="D118" i="3"/>
  <c r="D117" i="3"/>
  <c r="D116" i="3"/>
  <c r="D111" i="3"/>
  <c r="D115" i="3"/>
  <c r="D113" i="3"/>
  <c r="D114" i="3"/>
  <c r="D112" i="3"/>
  <c r="D110" i="3"/>
  <c r="D207" i="3"/>
  <c r="D206" i="3"/>
  <c r="D205" i="3"/>
  <c r="D108" i="3"/>
  <c r="D105" i="3"/>
  <c r="D104" i="3"/>
  <c r="D103" i="3"/>
  <c r="D102" i="3"/>
  <c r="D79" i="3"/>
  <c r="D78" i="3"/>
  <c r="H420" i="3"/>
  <c r="H421" i="3"/>
  <c r="H406" i="3"/>
  <c r="H405" i="3"/>
  <c r="F75" i="3"/>
  <c r="H75" i="3" s="1"/>
  <c r="F77" i="3"/>
  <c r="H77" i="3" s="1"/>
  <c r="H408" i="3"/>
  <c r="H407" i="3"/>
  <c r="H404" i="3"/>
  <c r="F440" i="3"/>
  <c r="P73" i="2" s="1"/>
  <c r="R73" i="2" s="1"/>
  <c r="F433" i="3"/>
  <c r="H400" i="3"/>
  <c r="H403" i="3"/>
  <c r="H399" i="3"/>
  <c r="H56" i="3"/>
  <c r="H55" i="3"/>
  <c r="H54" i="3"/>
  <c r="H53" i="3"/>
  <c r="H39" i="3"/>
  <c r="H38" i="3"/>
  <c r="H37" i="3"/>
  <c r="H36" i="3"/>
  <c r="H35" i="3"/>
  <c r="H34" i="3"/>
  <c r="H33" i="3"/>
  <c r="H31" i="3"/>
  <c r="E65" i="2"/>
  <c r="R55" i="2"/>
  <c r="R40" i="2"/>
  <c r="R39" i="2"/>
  <c r="B9" i="18"/>
  <c r="R38" i="2"/>
  <c r="O34" i="2"/>
  <c r="R33" i="2"/>
  <c r="R32" i="2"/>
  <c r="R31" i="2"/>
  <c r="R30" i="2"/>
  <c r="R28" i="2"/>
  <c r="R27" i="2"/>
  <c r="R24" i="2"/>
  <c r="R6" i="2"/>
  <c r="H76" i="3"/>
  <c r="H74" i="3"/>
  <c r="C354" i="3" l="1"/>
  <c r="B354" i="3"/>
  <c r="A343" i="3" s="1"/>
  <c r="I56" i="12"/>
  <c r="I49" i="12"/>
  <c r="I50" i="12"/>
  <c r="I57" i="12"/>
  <c r="N50" i="12"/>
  <c r="N57" i="12"/>
  <c r="N49" i="12"/>
  <c r="N56" i="12"/>
  <c r="F59" i="12"/>
  <c r="I58" i="12"/>
  <c r="F53" i="12"/>
  <c r="O7" i="12"/>
  <c r="F45" i="12"/>
  <c r="K51" i="12"/>
  <c r="F95" i="3" s="1"/>
  <c r="H95" i="3" s="1"/>
  <c r="O12" i="12"/>
  <c r="F52" i="12"/>
  <c r="F58" i="12"/>
  <c r="O9" i="12"/>
  <c r="N58" i="12"/>
  <c r="F40" i="12"/>
  <c r="K43" i="12"/>
  <c r="K58" i="12" s="1"/>
  <c r="F100" i="3" s="1"/>
  <c r="H100" i="3" s="1"/>
  <c r="O10" i="12"/>
  <c r="I59" i="12"/>
  <c r="K45" i="12"/>
  <c r="K52" i="12" s="1"/>
  <c r="F96" i="3" s="1"/>
  <c r="H96" i="3" s="1"/>
  <c r="I52" i="12"/>
  <c r="N52" i="12"/>
  <c r="K40" i="12"/>
  <c r="F44" i="12"/>
  <c r="F51" i="12" s="1"/>
  <c r="A267" i="3"/>
  <c r="B386" i="3" s="1"/>
  <c r="A377" i="3" s="1"/>
  <c r="L22" i="2"/>
  <c r="R22" i="2" s="1"/>
  <c r="H336" i="3"/>
  <c r="H239" i="3"/>
  <c r="E36" i="2" s="1"/>
  <c r="H247" i="3"/>
  <c r="E37" i="2" s="1"/>
  <c r="H417" i="3"/>
  <c r="E44" i="2" s="1"/>
  <c r="E50" i="2" s="1"/>
  <c r="R48" i="2" s="1"/>
  <c r="R49" i="2" s="1"/>
  <c r="C359" i="3"/>
  <c r="H30" i="3"/>
  <c r="E30" i="2" s="1"/>
  <c r="H429" i="3"/>
  <c r="E53" i="2" s="1"/>
  <c r="B13" i="18" s="1"/>
  <c r="B359" i="3"/>
  <c r="L23" i="2"/>
  <c r="H330" i="3"/>
  <c r="H255" i="3"/>
  <c r="E38" i="2" s="1"/>
  <c r="R76" i="2"/>
  <c r="P69" i="2" s="1"/>
  <c r="H333" i="3"/>
  <c r="H228" i="3"/>
  <c r="E35" i="2" s="1"/>
  <c r="H155" i="3"/>
  <c r="E34" i="2" s="1"/>
  <c r="H136" i="3"/>
  <c r="E33" i="2" s="1"/>
  <c r="H87" i="3"/>
  <c r="H73" i="3" s="1"/>
  <c r="E31" i="2" s="1"/>
  <c r="B2" i="18"/>
  <c r="H273" i="3"/>
  <c r="C380" i="3"/>
  <c r="A18" i="17" l="1" a="1"/>
  <c r="A18" i="17" s="1"/>
  <c r="B3" i="18"/>
  <c r="K18" i="17" a="1"/>
  <c r="K18" i="17" s="1"/>
  <c r="C386" i="3"/>
  <c r="B18" i="17" a="1"/>
  <c r="B18" i="17" s="1"/>
  <c r="H267" i="3"/>
  <c r="H265" i="3" s="1"/>
  <c r="E39" i="2" s="1"/>
  <c r="L18" i="17" a="1"/>
  <c r="L18" i="17" s="1"/>
  <c r="C365" i="3"/>
  <c r="B365" i="3"/>
  <c r="B19" i="18"/>
  <c r="K59" i="12"/>
  <c r="F101" i="3" s="1"/>
  <c r="H101" i="3" s="1"/>
  <c r="K53" i="12"/>
  <c r="F97" i="3" s="1"/>
  <c r="H97" i="3" s="1"/>
  <c r="F56" i="12"/>
  <c r="F50" i="12"/>
  <c r="F49" i="12"/>
  <c r="F57" i="12"/>
  <c r="K57" i="12"/>
  <c r="F99" i="3" s="1"/>
  <c r="H99" i="3" s="1"/>
  <c r="K50" i="12"/>
  <c r="F94" i="3" s="1"/>
  <c r="H94" i="3" s="1"/>
  <c r="K49" i="12"/>
  <c r="F93" i="3" s="1"/>
  <c r="H93" i="3" s="1"/>
  <c r="K56" i="12"/>
  <c r="F98" i="3" s="1"/>
  <c r="H98" i="3" s="1"/>
  <c r="B12" i="18"/>
  <c r="L25" i="2"/>
  <c r="H343" i="3"/>
  <c r="E59" i="2"/>
  <c r="R51" i="2" s="1"/>
  <c r="R23" i="2"/>
  <c r="B4" i="18"/>
  <c r="H377" i="3"/>
  <c r="L29" i="2"/>
  <c r="A356" i="3" l="1"/>
  <c r="H356" i="3" s="1"/>
  <c r="B9" i="3"/>
  <c r="J9" i="2" s="1"/>
  <c r="H92" i="3"/>
  <c r="E32" i="2" s="1"/>
  <c r="E41" i="2" s="1"/>
  <c r="R46" i="2" s="1"/>
  <c r="R47" i="2" s="1"/>
  <c r="R25" i="2"/>
  <c r="B5" i="18"/>
  <c r="B7" i="18"/>
  <c r="R29" i="2"/>
  <c r="L26" i="2" l="1"/>
  <c r="R26" i="2" s="1"/>
  <c r="R34" i="2" s="1"/>
  <c r="R42" i="2" s="1"/>
  <c r="B435" i="3"/>
  <c r="A432" i="3" s="1"/>
  <c r="H433" i="3" s="1"/>
  <c r="H437" i="3" s="1"/>
  <c r="R52" i="2" s="1"/>
  <c r="B14" i="18" s="1"/>
  <c r="B11" i="18"/>
  <c r="L34" i="2" l="1"/>
  <c r="B6" i="18"/>
  <c r="R59" i="2"/>
  <c r="R61" i="2" s="1"/>
  <c r="E76" i="2" s="1"/>
  <c r="F1" i="3" s="1"/>
  <c r="F2" i="3" s="1"/>
  <c r="R64" i="2" l="1"/>
  <c r="R63" i="2"/>
  <c r="R65" i="2"/>
  <c r="R67" i="2" l="1"/>
  <c r="R69" i="2" s="1"/>
  <c r="B23" i="1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<sst xmlns="http://schemas.openxmlformats.org/spreadsheetml/2006/main" count="6320" uniqueCount="2492">
  <si>
    <t>Calculatieblad</t>
  </si>
  <si>
    <t>Versie</t>
  </si>
  <si>
    <t>Datum</t>
  </si>
  <si>
    <t>Legenda</t>
  </si>
  <si>
    <t>Invulveld</t>
  </si>
  <si>
    <t>Aantal meter koelleiding</t>
  </si>
  <si>
    <t>Stuksprijzen van niet voorraadartikelen</t>
  </si>
  <si>
    <t>Laatste update:</t>
  </si>
  <si>
    <t>(Zie tabjes "Berek. …" voor de onderbouwingen.</t>
  </si>
  <si>
    <t>Automatische berekening op basis van de ingevulde getallen</t>
  </si>
  <si>
    <t>Export YIMM (Voorraad)</t>
  </si>
  <si>
    <t xml:space="preserve">Export DGC ledenlijst </t>
  </si>
  <si>
    <t>Parkeertarieven</t>
  </si>
  <si>
    <t>Bonusdragende klanten</t>
  </si>
  <si>
    <t>QUOTATION SHEET</t>
  </si>
  <si>
    <t>PROJECT'S NAME</t>
  </si>
  <si>
    <t>DATE</t>
  </si>
  <si>
    <t>CLIENT'S NAME</t>
  </si>
  <si>
    <t>PROJECT MANAGER :</t>
  </si>
  <si>
    <t>LENGTH OF PROJECT</t>
  </si>
  <si>
    <t>Ploegdagen</t>
  </si>
  <si>
    <t>INDEX :</t>
  </si>
  <si>
    <t>DATE PROJECT'S START</t>
  </si>
  <si>
    <t>MARKETING CODE :</t>
  </si>
  <si>
    <t>N° QUOTATION PROJECT</t>
  </si>
  <si>
    <t>Complement</t>
  </si>
  <si>
    <t>Tender</t>
  </si>
  <si>
    <t>LABOUR COSTS</t>
  </si>
  <si>
    <t>Base</t>
  </si>
  <si>
    <t>MM/YY</t>
  </si>
  <si>
    <t>Firm</t>
  </si>
  <si>
    <t>Y/N</t>
  </si>
  <si>
    <t>Section</t>
  </si>
  <si>
    <t>Description</t>
  </si>
  <si>
    <t>Normal hours</t>
  </si>
  <si>
    <t>Surcharged hours</t>
  </si>
  <si>
    <t>Amounts</t>
  </si>
  <si>
    <t>Subject to update</t>
  </si>
  <si>
    <t>Number</t>
  </si>
  <si>
    <t>Quotation
Rate</t>
  </si>
  <si>
    <t>Surcharge</t>
  </si>
  <si>
    <t>Revisable</t>
  </si>
  <si>
    <t>Invoicing / Payments</t>
  </si>
  <si>
    <t xml:space="preserve"> see attached cash flow statement</t>
  </si>
  <si>
    <t>Detail Purchases</t>
  </si>
  <si>
    <t>TEMPORARY HOURS</t>
  </si>
  <si>
    <t>Salary increase</t>
  </si>
  <si>
    <t>HOURS</t>
  </si>
  <si>
    <t>SHORT TRIP ALLOWANCE</t>
  </si>
  <si>
    <t>days at</t>
  </si>
  <si>
    <t>TRANSFER QUOTATION FULL COST</t>
  </si>
  <si>
    <t>hours at</t>
  </si>
  <si>
    <t>Total</t>
  </si>
  <si>
    <t xml:space="preserve"> S/TOTAL LABOUR COSTS</t>
  </si>
  <si>
    <t>Detail External Subcontracting</t>
  </si>
  <si>
    <t>Uitbesteding</t>
  </si>
  <si>
    <t>OTHER COSTS</t>
  </si>
  <si>
    <t>PURCHASES (see breaking up)</t>
  </si>
  <si>
    <t>Overheads on purchases</t>
  </si>
  <si>
    <t>Rate</t>
  </si>
  <si>
    <t>EXTERNAL SUBCONTRACTING (see breaking up)</t>
  </si>
  <si>
    <t>Overheads on external subcontracting</t>
  </si>
  <si>
    <t>INTERNAL SUBCONTRACTING</t>
  </si>
  <si>
    <t>MISCELLANEOUS EXPENSES (see breaking up)</t>
  </si>
  <si>
    <t>Detail Miscellaneous Expenses</t>
  </si>
  <si>
    <t>TRAVELLING EXPENSES</t>
  </si>
  <si>
    <t>Equipment rental</t>
  </si>
  <si>
    <t>INTERNAL LEASE</t>
  </si>
  <si>
    <t>EXTERNAL LEASE</t>
  </si>
  <si>
    <t>EXTERNAL COSTS  (project management, …) (see breaking up)</t>
  </si>
  <si>
    <t>INSURANCES &amp; FEES</t>
  </si>
  <si>
    <t>ALEAS &amp; GUARANTEE</t>
  </si>
  <si>
    <t xml:space="preserve"> S/TOTAL OTHER COSTS</t>
  </si>
  <si>
    <t>Detail External costs</t>
  </si>
  <si>
    <t xml:space="preserve"> INTERMEDIARY COST (IC)</t>
  </si>
  <si>
    <t>LOST QUOTATION COSTS</t>
  </si>
  <si>
    <t>FINANCIAL COSTS</t>
  </si>
  <si>
    <t>GROUP FEES</t>
  </si>
  <si>
    <t>Ratios</t>
  </si>
  <si>
    <t xml:space="preserve"> FULL COST</t>
  </si>
  <si>
    <t>RESULT</t>
  </si>
  <si>
    <t>in % Sales</t>
  </si>
  <si>
    <t>PROJECT PRICE</t>
  </si>
  <si>
    <t>Deze prijs zelf invullen</t>
  </si>
  <si>
    <t>OMZETBONUS</t>
  </si>
  <si>
    <t>Niet invullen bij het budget, valt meteen vrij</t>
  </si>
  <si>
    <t>GARANTIE</t>
  </si>
  <si>
    <t>Invullen op de regel warranty</t>
  </si>
  <si>
    <t>Other costs / IC</t>
  </si>
  <si>
    <t>Deze prijs met de klant communiceren</t>
  </si>
  <si>
    <t>REMARKS</t>
  </si>
  <si>
    <t>Project Manager</t>
  </si>
  <si>
    <t>Director</t>
  </si>
  <si>
    <t>M. Robert Hartman</t>
  </si>
  <si>
    <t xml:space="preserve"> M. Arjo van Geffen</t>
  </si>
  <si>
    <t>Materiaal</t>
  </si>
  <si>
    <t>Q-NUMMER :</t>
  </si>
  <si>
    <t>Q.</t>
  </si>
  <si>
    <t>KLANTNAAM :</t>
  </si>
  <si>
    <t xml:space="preserve">KLANTNUMMER : </t>
  </si>
  <si>
    <t>Overig</t>
  </si>
  <si>
    <t>Single split</t>
  </si>
  <si>
    <t>% Materiaal</t>
  </si>
  <si>
    <t>Casetteunit</t>
  </si>
  <si>
    <t>% Arbeid</t>
  </si>
  <si>
    <t>AANTAL VERDEELBOXEN :</t>
  </si>
  <si>
    <t>AANTAL M KOELLEIDING :</t>
  </si>
  <si>
    <t>MOEILIJKHEID WERK:</t>
  </si>
  <si>
    <t>Standaard</t>
  </si>
  <si>
    <t>Moeilijkheidsgraad van het werk (niet de toegangkelijkheid, gebruik hiervoor de toeslag uren)</t>
  </si>
  <si>
    <t>REISTIJD :</t>
  </si>
  <si>
    <t>Retour reistijd naar projectlocatie</t>
  </si>
  <si>
    <t>PLOEGDAGEN :</t>
  </si>
  <si>
    <t>Aantal ploegdagen</t>
  </si>
  <si>
    <t>AANTAL</t>
  </si>
  <si>
    <t>TYPE</t>
  </si>
  <si>
    <t>EENHEID</t>
  </si>
  <si>
    <t>NETTO PRIJS P/EENHEID</t>
  </si>
  <si>
    <t>PRIJS €</t>
  </si>
  <si>
    <t>OPMERKINGEN</t>
  </si>
  <si>
    <t>CENTRALE REGELAAR</t>
  </si>
  <si>
    <t>ST</t>
  </si>
  <si>
    <t>BUITENDELEN</t>
  </si>
  <si>
    <t>T-STUKKEN (KOPPELING BUITENDELEN)</t>
  </si>
  <si>
    <t>VERDEELBOXEN</t>
  </si>
  <si>
    <t>HEADERS</t>
  </si>
  <si>
    <t>Y-JOINTS</t>
  </si>
  <si>
    <t>BINNENDELEN</t>
  </si>
  <si>
    <t>TOEBEHOREN LEVERANCIER: FRONTPANELEN / PLENUMS</t>
  </si>
  <si>
    <t>BEDIENINGEN</t>
  </si>
  <si>
    <t>INTERFACES / HULPSCHAKELING</t>
  </si>
  <si>
    <t>TOEBEHOREN EXTERN: LUCHTVERDELING / SLANGEN / REGELKLEPPEN / ROOSTERS</t>
  </si>
  <si>
    <t>SUBTOTAAL</t>
  </si>
  <si>
    <t>BIGFOOT Frame standaard (1000 x 1200)</t>
  </si>
  <si>
    <t>BIGFOOT Frame standaard + verlengset (1000 x 1200 + 1000 x 1200)</t>
  </si>
  <si>
    <t>BIGFOOT Frame XL (1200 x 1500)</t>
  </si>
  <si>
    <t>BIGFOOT Frame XL + verlengset (1200 x 1500 + 1200 x 1500)</t>
  </si>
  <si>
    <t>BN0440006302030014</t>
  </si>
  <si>
    <t>BN0440006328000018</t>
  </si>
  <si>
    <t>BN0440006327000006</t>
  </si>
  <si>
    <t>BN0440006302040024</t>
  </si>
  <si>
    <t>LEIDINGEN/KABELS/SIFON</t>
  </si>
  <si>
    <t>M</t>
  </si>
  <si>
    <t>BN0440006328000016</t>
  </si>
  <si>
    <t>BN0440006328000002</t>
  </si>
  <si>
    <t>BN0440006328000027</t>
  </si>
  <si>
    <t>BN0440006328000005</t>
  </si>
  <si>
    <t>BN0440006327000004</t>
  </si>
  <si>
    <t>BN0440006399000012</t>
  </si>
  <si>
    <t>BN0440006302010006</t>
  </si>
  <si>
    <t>BN0440006302010005</t>
  </si>
  <si>
    <t>BN0440006302010001</t>
  </si>
  <si>
    <t>BN0440006301000058</t>
  </si>
  <si>
    <t>BN0440006301000059</t>
  </si>
  <si>
    <t>BN0440006300000132</t>
  </si>
  <si>
    <t>BN0440006300000376</t>
  </si>
  <si>
    <t>BN0440006300000133</t>
  </si>
  <si>
    <t>BN0440006399000034</t>
  </si>
  <si>
    <t>BN0440006399000037</t>
  </si>
  <si>
    <t>BN0440006399000036</t>
  </si>
  <si>
    <t>BN0440006399000035</t>
  </si>
  <si>
    <t>BN0440006300000130</t>
  </si>
  <si>
    <t>BN0440006300000360</t>
  </si>
  <si>
    <t>BN0440006300000391</t>
  </si>
  <si>
    <t>BN0440006300000131</t>
  </si>
  <si>
    <t>KABELGOOT 200 MM INCL. BEUGEL</t>
  </si>
  <si>
    <t>CONDENSAFVOERLEIDING INCL. BEUGEL</t>
  </si>
  <si>
    <t>BN0440006300000055</t>
  </si>
  <si>
    <t>BN0440006300000056</t>
  </si>
  <si>
    <t>BN0440006300000057</t>
  </si>
  <si>
    <t>POMPEN</t>
  </si>
  <si>
    <t>BN0440006302040013</t>
  </si>
  <si>
    <t>BN0440006302040003</t>
  </si>
  <si>
    <t>BN0440006302040018</t>
  </si>
  <si>
    <t>BN0440006302040023</t>
  </si>
  <si>
    <t>BN0440006302040020</t>
  </si>
  <si>
    <t>BN0440006302040028</t>
  </si>
  <si>
    <t>BN0440006302040021</t>
  </si>
  <si>
    <t>BN0440006302040027</t>
  </si>
  <si>
    <t>BN0440006302040022</t>
  </si>
  <si>
    <t>BN0440006302040017</t>
  </si>
  <si>
    <t>BN0440006302040012</t>
  </si>
  <si>
    <t>BN0440006302040026</t>
  </si>
  <si>
    <t>BN0440006302040025</t>
  </si>
  <si>
    <t>BN0440006302040019</t>
  </si>
  <si>
    <t>INOAC</t>
  </si>
  <si>
    <t>BN0440006302010024</t>
  </si>
  <si>
    <t>BN0440006302010040</t>
  </si>
  <si>
    <t>BN0440006302010032</t>
  </si>
  <si>
    <t>BN0440006302010020</t>
  </si>
  <si>
    <t>BN0440006302010026</t>
  </si>
  <si>
    <t>BN0440006302010023</t>
  </si>
  <si>
    <t>BN0440006302010034</t>
  </si>
  <si>
    <t>BN0440006302010004</t>
  </si>
  <si>
    <t>BN0440006302010025</t>
  </si>
  <si>
    <t>BN0440006302010042</t>
  </si>
  <si>
    <t>BN0440006302010021</t>
  </si>
  <si>
    <t>BN0440006302010012</t>
  </si>
  <si>
    <t>BN0440006302010033</t>
  </si>
  <si>
    <t>BN0440006302010041</t>
  </si>
  <si>
    <t>BN0440006302010028</t>
  </si>
  <si>
    <t>BN0440006302010046</t>
  </si>
  <si>
    <t>BN0440006302010014</t>
  </si>
  <si>
    <t>BN0440006302010029</t>
  </si>
  <si>
    <t>BN0440006302010016</t>
  </si>
  <si>
    <t>BN0440006302010022</t>
  </si>
  <si>
    <t>BN0440006302010027</t>
  </si>
  <si>
    <t>BN0440006302010039</t>
  </si>
  <si>
    <t>BN0440006302010015</t>
  </si>
  <si>
    <t>BN0440006302010035</t>
  </si>
  <si>
    <t>BN0440006302010047</t>
  </si>
  <si>
    <t>BN0440006302010043</t>
  </si>
  <si>
    <t>BN0440006302010018</t>
  </si>
  <si>
    <t>BN0440006302010037</t>
  </si>
  <si>
    <t>BN0440006302010013</t>
  </si>
  <si>
    <t>BN0440006302010019</t>
  </si>
  <si>
    <t>BN0440006302010036</t>
  </si>
  <si>
    <t>BN0440006302010045</t>
  </si>
  <si>
    <t>BN0440006302010011</t>
  </si>
  <si>
    <t>BN0440006302010030</t>
  </si>
  <si>
    <t>BN0440006302010049</t>
  </si>
  <si>
    <t>BN0440006302010017</t>
  </si>
  <si>
    <t>BN0440006302010044</t>
  </si>
  <si>
    <t>BN0440006302010031</t>
  </si>
  <si>
    <t>BN0440006302010038</t>
  </si>
  <si>
    <t>BN0440006302010048</t>
  </si>
  <si>
    <t>SOLDEER</t>
  </si>
  <si>
    <t>BN0440006300000202</t>
  </si>
  <si>
    <t>BN0440006321000010</t>
  </si>
  <si>
    <t>BN0440006321000011</t>
  </si>
  <si>
    <t>BN0440006321000012</t>
  </si>
  <si>
    <t>BN0440006321000013</t>
  </si>
  <si>
    <t>BN0440006302060005</t>
  </si>
  <si>
    <t>WERKSCHAKELAAR</t>
  </si>
  <si>
    <t>BN0440006328000028</t>
  </si>
  <si>
    <t>BN0440006328000003</t>
  </si>
  <si>
    <t>BN0440006328000007</t>
  </si>
  <si>
    <t>KOUDE MIDDEL</t>
  </si>
  <si>
    <t>BN0440006309000032</t>
  </si>
  <si>
    <t>BN0440006309000410</t>
  </si>
  <si>
    <t>Afvoer koude middel</t>
  </si>
  <si>
    <t>KG</t>
  </si>
  <si>
    <t>BN0440006300000385</t>
  </si>
  <si>
    <t>BN0440006300000082</t>
  </si>
  <si>
    <t>BN0440006300000388</t>
  </si>
  <si>
    <t>BN0440006300000387</t>
  </si>
  <si>
    <t>BN0440006300000383</t>
  </si>
  <si>
    <t>BN0440006300000384</t>
  </si>
  <si>
    <t>BN0440006300000382</t>
  </si>
  <si>
    <t>BN0440006300000381</t>
  </si>
  <si>
    <t>BN0440006300000389</t>
  </si>
  <si>
    <t>BN0440006300000135</t>
  </si>
  <si>
    <t>BN0440006300000134</t>
  </si>
  <si>
    <t>BN0440588006590590</t>
  </si>
  <si>
    <t>BN0440006301010017</t>
  </si>
  <si>
    <t>BN0440006328000017</t>
  </si>
  <si>
    <t>BN0440006328000026</t>
  </si>
  <si>
    <t>BN0440006302030018</t>
  </si>
  <si>
    <t>BN0440006302030019</t>
  </si>
  <si>
    <t>BN0440006300000120</t>
  </si>
  <si>
    <t>BN0440006300000121</t>
  </si>
  <si>
    <t>BN0440006302010010</t>
  </si>
  <si>
    <t>BN0440006302010009</t>
  </si>
  <si>
    <t>BN0440006302010003</t>
  </si>
  <si>
    <t>BN0440006302010008</t>
  </si>
  <si>
    <t>BN0440006302010007</t>
  </si>
  <si>
    <t>BN0440006302010002</t>
  </si>
  <si>
    <t>BN0440006301000021</t>
  </si>
  <si>
    <t>BN0440006300000362</t>
  </si>
  <si>
    <t>BN0440006302030015</t>
  </si>
  <si>
    <t>BN0440006301030045</t>
  </si>
  <si>
    <t>BN0440006300000003</t>
  </si>
  <si>
    <t>BN0440006300000196</t>
  </si>
  <si>
    <t>Uren</t>
  </si>
  <si>
    <t>PROJECTMANAGER</t>
  </si>
  <si>
    <t>WERKUREN</t>
  </si>
  <si>
    <t>REISUREN</t>
  </si>
  <si>
    <t>PROJECTLEIDER</t>
  </si>
  <si>
    <t>WERKVOORBEREIDER</t>
  </si>
  <si>
    <t>SERVICEMONTEUR</t>
  </si>
  <si>
    <t>IBS CENTRALE REGELAAR (8 UUR PST) CENTRALE BEDIENING</t>
  </si>
  <si>
    <t>TOESLAG UREN OPTIONEEL (BIJVOORBEELD WACHTTIJDEN)</t>
  </si>
  <si>
    <t>HOOFDMONTEUR</t>
  </si>
  <si>
    <t>BC CONTROLLER (8 UUR PST) VERDEELBOX</t>
  </si>
  <si>
    <t>MONTAGE KABELGOOT EN CONDENSLEIDING (0,25 UUR PER M)</t>
  </si>
  <si>
    <t>HULPMONTEUR</t>
  </si>
  <si>
    <t>IBS / Support Leverancier</t>
  </si>
  <si>
    <t>op aanvraag</t>
  </si>
  <si>
    <t>LUCHTVERDEELSLANG KE FIBERTEC, INCL. INMETEN EN MONTAGE AA MONTAGE</t>
  </si>
  <si>
    <t>KLEINE KRAAN</t>
  </si>
  <si>
    <t>GROTE KRAAN</t>
  </si>
  <si>
    <t>BETONBORING</t>
  </si>
  <si>
    <t>DAKDEKKER</t>
  </si>
  <si>
    <t>POST</t>
  </si>
  <si>
    <t>BRANDWERENDE AFWERKING</t>
  </si>
  <si>
    <t>HULPCONSTRUCTIE</t>
  </si>
  <si>
    <t>ELEKTRO TECHNISCH</t>
  </si>
  <si>
    <t>TOTAAL</t>
  </si>
  <si>
    <t>HOOGWERKER</t>
  </si>
  <si>
    <t>HEFTRUCK</t>
  </si>
  <si>
    <t>STEIGER</t>
  </si>
  <si>
    <t>PARKEERKOSTEN</t>
  </si>
  <si>
    <t>UURTARIEF</t>
  </si>
  <si>
    <t>PROVINCIE</t>
  </si>
  <si>
    <t>Geen parkeerkosten</t>
  </si>
  <si>
    <t>AANTAL PLOEGDAGEN</t>
  </si>
  <si>
    <t>Omzetbonus</t>
  </si>
  <si>
    <t>Geen bonusdragende klant</t>
  </si>
  <si>
    <t>Soort voorraad</t>
  </si>
  <si>
    <t>Plant</t>
  </si>
  <si>
    <t>Storage Location</t>
  </si>
  <si>
    <t>Plant Name</t>
  </si>
  <si>
    <t>Material Number</t>
  </si>
  <si>
    <t>Material Description</t>
  </si>
  <si>
    <t>Rounding Value</t>
  </si>
  <si>
    <t>Safety Stock</t>
  </si>
  <si>
    <t>Storage Location Reserved Stock</t>
  </si>
  <si>
    <t>Storage location stock</t>
  </si>
  <si>
    <t>Moving Average Price</t>
  </si>
  <si>
    <t>Base Unit of Measure</t>
  </si>
  <si>
    <t>Plant value</t>
  </si>
  <si>
    <t>N044</t>
  </si>
  <si>
    <t>0001</t>
  </si>
  <si>
    <t>Schilt Airconditioning</t>
  </si>
  <si>
    <t>BN0440006300000001</t>
  </si>
  <si>
    <t>Isolerende NBR kleefband 50x3mm 20m/rol</t>
  </si>
  <si>
    <t>ROL</t>
  </si>
  <si>
    <t>BN0440006300000002</t>
  </si>
  <si>
    <t>BOX</t>
  </si>
  <si>
    <t>Trillingsdempers Cilindrisch M8 40x30mm</t>
  </si>
  <si>
    <t>BN0440006300000004</t>
  </si>
  <si>
    <t>M8 Stud clips 3/4" (19 mm) leidingd 20mm</t>
  </si>
  <si>
    <t>BAG</t>
  </si>
  <si>
    <t>BN0440006300000005</t>
  </si>
  <si>
    <t>Aspen leidingdrager voor pvc buis 25 mm</t>
  </si>
  <si>
    <t>BN0440006300000006</t>
  </si>
  <si>
    <t>Aspen leidingdrager voor pvc buis 32 mm</t>
  </si>
  <si>
    <t>BN0440006300000007</t>
  </si>
  <si>
    <t>Aspen leidingdrager voor pvc buis 38 mm</t>
  </si>
  <si>
    <t>BN0440006300000008</t>
  </si>
  <si>
    <t>Aspen leidingdrager voor pvc buis 40 mm</t>
  </si>
  <si>
    <t>BN0440006300000009</t>
  </si>
  <si>
    <t>Aspen leidingdrager plastic P2 3/8-5/8</t>
  </si>
  <si>
    <t>BN0440006300000010</t>
  </si>
  <si>
    <t>Aspen leidingdrager plastic P3 1/2-7/8</t>
  </si>
  <si>
    <t>BN0440006300000011</t>
  </si>
  <si>
    <t>Aspen leidingdrager plastic P4 5/8-1.1/8</t>
  </si>
  <si>
    <t>BN0440006300000012</t>
  </si>
  <si>
    <t>Kabelbinder 300x7,6mm zwart</t>
  </si>
  <si>
    <t>BN0440006300000013</t>
  </si>
  <si>
    <t>Kabelbinder 300x4,8 zwart</t>
  </si>
  <si>
    <t>BN0440006300000014</t>
  </si>
  <si>
    <t>Kabelbinder 300x4,8 naturel</t>
  </si>
  <si>
    <t>BN0440006300000015</t>
  </si>
  <si>
    <t>Kabelbinder 300x7,6mm naturel</t>
  </si>
  <si>
    <t>BN0440006300000016</t>
  </si>
  <si>
    <t>Kabelbinder 140x3.6 zwart</t>
  </si>
  <si>
    <t>BN0440006300000017</t>
  </si>
  <si>
    <t>Aspen leidingdrager voor pvc buis 50 mm</t>
  </si>
  <si>
    <t>BN0440006300000018</t>
  </si>
  <si>
    <t>Pipelife verloopring centrisch, 50x40mm</t>
  </si>
  <si>
    <t>BN0440006300000019</t>
  </si>
  <si>
    <t>PVC drukleiding verloopring, 50 x 32mm</t>
  </si>
  <si>
    <t>BN0440006300000020</t>
  </si>
  <si>
    <t>Pipelife verloopring centrisch, 40x32mm</t>
  </si>
  <si>
    <t>BN0440006300000021</t>
  </si>
  <si>
    <t>PVC drukleiding verloopstuk, 40-32x20mm</t>
  </si>
  <si>
    <t>BN0440006300000022</t>
  </si>
  <si>
    <t>PVC drukleiding verloopstuk, 32-25x20mm</t>
  </si>
  <si>
    <t>BN0440006300000023</t>
  </si>
  <si>
    <t>PVC drukleiding verloopring, 40 x 16mm</t>
  </si>
  <si>
    <t>BN0440006300000024</t>
  </si>
  <si>
    <t>PVC drukleiding verloopstuk, 32-25x16mm</t>
  </si>
  <si>
    <t>BN0440006300000025</t>
  </si>
  <si>
    <t>PVC drukleiding verloopstuk, 20-16x12mm</t>
  </si>
  <si>
    <t>BN0440006300000026</t>
  </si>
  <si>
    <t>WAV PVC AFSLUITKAP GR 20 PN16 5115092000</t>
  </si>
  <si>
    <t>BN0440006300000027</t>
  </si>
  <si>
    <t>PVC drukleiding knie 90gr, 20mm</t>
  </si>
  <si>
    <t>BN0440006300000028</t>
  </si>
  <si>
    <t>PIPE VSV BOCHT 3/4 GRYS ZK25</t>
  </si>
  <si>
    <t>BN0440006300000029</t>
  </si>
  <si>
    <t>BN0440006300000030</t>
  </si>
  <si>
    <t>PVC drukleiding T-stuk 90gr, 16mm</t>
  </si>
  <si>
    <t>BN0440006300000031</t>
  </si>
  <si>
    <t>PVC drukleiding knie 45gr, 16mm</t>
  </si>
  <si>
    <t>BN0440006300000032</t>
  </si>
  <si>
    <t>PVC drukleiding T-stuk 45gr, 20mm</t>
  </si>
  <si>
    <t>BN0440006300000033</t>
  </si>
  <si>
    <t>PVC drukleiding sok, 20mm</t>
  </si>
  <si>
    <t>BN0440006300000034</t>
  </si>
  <si>
    <t>PVC drukleiding knie 45gr, 20mm</t>
  </si>
  <si>
    <t>BN0440006300000035</t>
  </si>
  <si>
    <t>PVC drukleiding T-stuk 90gr, 20mm</t>
  </si>
  <si>
    <t>BN0440006300000036</t>
  </si>
  <si>
    <t>PIPE POLVALIT VSV BOCHT 19MM, zwart</t>
  </si>
  <si>
    <t>BN0440006300000037</t>
  </si>
  <si>
    <t>PIPE POLVITE SOK 19MM ZW ZK50 zwart</t>
  </si>
  <si>
    <t>BN0440006300000038</t>
  </si>
  <si>
    <t>PIPE POLVITE PVC SOK 19MM ZK50 wit</t>
  </si>
  <si>
    <t>BN0440006300000039</t>
  </si>
  <si>
    <t>PVC drukleiding sok, 16mm</t>
  </si>
  <si>
    <t>BN0440006300000040</t>
  </si>
  <si>
    <t>PVC drukleiding knie 90gr, 16mm</t>
  </si>
  <si>
    <t>BN0440006300000041</t>
  </si>
  <si>
    <t>WAV FIP AFSLUITKAP 32 PN16</t>
  </si>
  <si>
    <t>BN0440006300000042</t>
  </si>
  <si>
    <t>Pipelife T-stuk 45gr, 32mm</t>
  </si>
  <si>
    <t>BN0440006300000043</t>
  </si>
  <si>
    <t>Wadal T-stuk 88gr, 32mm</t>
  </si>
  <si>
    <t>BN0440006300000044</t>
  </si>
  <si>
    <t> WADL LIJMMOF 32, 3100003000</t>
  </si>
  <si>
    <t>BN0440006300000045</t>
  </si>
  <si>
    <t>Pipelife bocht 45gr, 32mm m/s</t>
  </si>
  <si>
    <t>BN0440006300000046</t>
  </si>
  <si>
    <t>Pipelife bocht 45gr, 32mm m/m</t>
  </si>
  <si>
    <t>BN0440006300000047</t>
  </si>
  <si>
    <t>Pipelife bocht 90gr, 32mm m/s</t>
  </si>
  <si>
    <t>BN0440006300000048</t>
  </si>
  <si>
    <t>Pipelife bocht 90gr, 32mm m/m</t>
  </si>
  <si>
    <t>BN0440006300000049</t>
  </si>
  <si>
    <t>Pipelife dubbele lijmmof, 32mm</t>
  </si>
  <si>
    <t>BN0440006300000050</t>
  </si>
  <si>
    <t>Inaba Denko VT-19-W tape 19mmx10m, wit</t>
  </si>
  <si>
    <t>BN0440006300000051</t>
  </si>
  <si>
    <t>Inaba Denko VT-19-K tape 19mmx10m, zwart</t>
  </si>
  <si>
    <t>BN0440006300000052</t>
  </si>
  <si>
    <t>PVC tape 50x10 grijs</t>
  </si>
  <si>
    <t>BN0440006300000053</t>
  </si>
  <si>
    <t>PVC tape 50x10 wit</t>
  </si>
  <si>
    <t>BN0440006300000054</t>
  </si>
  <si>
    <t>WaTech lijmsifon universeel 32mm</t>
  </si>
  <si>
    <t>WaTech lijmsifon universeel 40mm</t>
  </si>
  <si>
    <t>WaTech lijmsifon universeel 50mm</t>
  </si>
  <si>
    <t>BN0440006300000058</t>
  </si>
  <si>
    <t>Universeel PVC druk bocht wit 45° Ø25mm</t>
  </si>
  <si>
    <t>BN0440006300000059</t>
  </si>
  <si>
    <t>Universeel PVC druk T-stuk wit 90° Ø25mm</t>
  </si>
  <si>
    <t>BN0440006300000060</t>
  </si>
  <si>
    <t>Univers. PVC druk verloop wit 25mm-20mm</t>
  </si>
  <si>
    <t>BN0440006300000061</t>
  </si>
  <si>
    <t>Universeel PVC druk bocht wit 45° Ø32mm</t>
  </si>
  <si>
    <t>BN0440006300000062</t>
  </si>
  <si>
    <t>Universeel PVC druk bocht wit 45° Ø20mm</t>
  </si>
  <si>
    <t>BN0440006300000063</t>
  </si>
  <si>
    <t>Universeel PVC druk bocht wit 90° Ø25mm</t>
  </si>
  <si>
    <t>BN0440006300000064</t>
  </si>
  <si>
    <t>Universeel PVC druk sok wit Ø25mm</t>
  </si>
  <si>
    <t>BN0440006300000065</t>
  </si>
  <si>
    <t>Universeel PVC druk sok wit Ø32mm</t>
  </si>
  <si>
    <t>BN0440006300000066</t>
  </si>
  <si>
    <t>Universeel PVC druk bocht wit 90° Ø32mm</t>
  </si>
  <si>
    <t>BN0440006300000067</t>
  </si>
  <si>
    <t>WADL BOCHT 45G 40 2XM L</t>
  </si>
  <si>
    <t>BN0440006300000068</t>
  </si>
  <si>
    <t>Wadal sok, 40mm</t>
  </si>
  <si>
    <t>BN0440006300000069</t>
  </si>
  <si>
    <t>Wadal T-stuk 88gr, 40mm</t>
  </si>
  <si>
    <t>BN0440006300000070</t>
  </si>
  <si>
    <t>WADL T-STUK 45G 40 3XM L</t>
  </si>
  <si>
    <t>BN0440006300000071</t>
  </si>
  <si>
    <t>WADL BOCHT 88G 40 2XM L</t>
  </si>
  <si>
    <t>BN0440006300000072</t>
  </si>
  <si>
    <t>WADL BOCHT 88G 40 M/S L</t>
  </si>
  <si>
    <t>BN0440006300000073</t>
  </si>
  <si>
    <t>WADL BOCHT 45G 40 M/S L</t>
  </si>
  <si>
    <t>BN0440006300000074</t>
  </si>
  <si>
    <t>Wadal verloop T-stuk 45gr, 50 x 40mm</t>
  </si>
  <si>
    <t>BN0440006300000075</t>
  </si>
  <si>
    <t>WADL BOCHT 45G 50 M/S L</t>
  </si>
  <si>
    <t>BN0440006300000076</t>
  </si>
  <si>
    <t>Wadal sok, 50mm</t>
  </si>
  <si>
    <t>BN0440006300000077</t>
  </si>
  <si>
    <t>Wadal T-stuk 88gr, 50mm</t>
  </si>
  <si>
    <t>BN0440006300000078</t>
  </si>
  <si>
    <t> WADL T-STUK 45G 50 3XM L</t>
  </si>
  <si>
    <t>BN0440006300000079</t>
  </si>
  <si>
    <t>Wadal bocht 90gr, 50mm</t>
  </si>
  <si>
    <t>BN0440006300000080</t>
  </si>
  <si>
    <t>Wadal bocht 90gr, 50mm m/s</t>
  </si>
  <si>
    <t>BN0440006300000081</t>
  </si>
  <si>
    <t>WADL BOCHT 45G 50 2XM L</t>
  </si>
  <si>
    <t>BN0440006300000085</t>
  </si>
  <si>
    <t>ATT FLEX BUIS 19MM ZW RO100 AT2820</t>
  </si>
  <si>
    <t>BN0440006300000086</t>
  </si>
  <si>
    <t>OBO QUICKZADEL M40 7035 DS50 2149028</t>
  </si>
  <si>
    <t>BN0440006300000089</t>
  </si>
  <si>
    <t>Pipelife Polfix klembeugel 19mm ds100</t>
  </si>
  <si>
    <t>BN0440006300000090</t>
  </si>
  <si>
    <t>BN0440006300000091</t>
  </si>
  <si>
    <t>PIPE POLF UVS KLMB 19 ZW DS100</t>
  </si>
  <si>
    <t>BN0440006300000094</t>
  </si>
  <si>
    <t>OBO QUICKZADEL M32 7035 DS50 2149022</t>
  </si>
  <si>
    <t>BN0440006300000095</t>
  </si>
  <si>
    <t>OBO QUICKZADEL M50 7035 DS25 2149034</t>
  </si>
  <si>
    <t>BN0440006300000096</t>
  </si>
  <si>
    <t>Condensafvoer verloop 90°</t>
  </si>
  <si>
    <t>BN0440006300000097</t>
  </si>
  <si>
    <t>Slangtule 6mm FP2622 a 5 stuks</t>
  </si>
  <si>
    <t>BN0440006300000098</t>
  </si>
  <si>
    <t>Condensafvoer verloop recht</t>
  </si>
  <si>
    <t>BN0440006300000099</t>
  </si>
  <si>
    <t>Aspen Xtra rubberbocht lang 16 mm 90°</t>
  </si>
  <si>
    <t>BN0440006300000100</t>
  </si>
  <si>
    <t>Aspen Xtra bocht 12-16mm 90°</t>
  </si>
  <si>
    <t>BN0440006300000101</t>
  </si>
  <si>
    <t>Aspen Xtra rubber verloopsok 26-21 mm</t>
  </si>
  <si>
    <t>BN0440006300000102</t>
  </si>
  <si>
    <t>Aspen Xtra rubber verloop 16-25 mm</t>
  </si>
  <si>
    <t>BN0440006300000103</t>
  </si>
  <si>
    <t>Aspen Xtra rubber verloopsok 32-21 mm</t>
  </si>
  <si>
    <t>BN0440006300000104</t>
  </si>
  <si>
    <t>Aspen Xtra rubber verloop 16-32 mm</t>
  </si>
  <si>
    <t>BN0440006300000105</t>
  </si>
  <si>
    <t>BISMAT® 2000 - M8, 31 - 35mm</t>
  </si>
  <si>
    <t>BN0440006300000106</t>
  </si>
  <si>
    <t>BISMAT® 2000 - M8, 40 - 43mm</t>
  </si>
  <si>
    <t>BN0440006300000107</t>
  </si>
  <si>
    <t>BIS 4000 beugel BUP verz. - M8, 32mm</t>
  </si>
  <si>
    <t>BN0440006300000108</t>
  </si>
  <si>
    <t>NVEN KAB-CLIP 812SC1924 ZK25</t>
  </si>
  <si>
    <t>BN0440006300000109</t>
  </si>
  <si>
    <t>NVEN KAB-CLIP 47SC1924 ZK25</t>
  </si>
  <si>
    <t>BN0440006300000110</t>
  </si>
  <si>
    <t>PVC zadel, 40mm</t>
  </si>
  <si>
    <t>BN0440006300000112</t>
  </si>
  <si>
    <t>BISMAT® 2000 - M8, 25 - 28mm</t>
  </si>
  <si>
    <t>BN0440006300000113</t>
  </si>
  <si>
    <t>BISMAT® 2000 - M8, 36 - 39mm</t>
  </si>
  <si>
    <t>BN0440006300000114</t>
  </si>
  <si>
    <t>Flamco BSK clip M8 x 40</t>
  </si>
  <si>
    <t>BN0440006300000115</t>
  </si>
  <si>
    <t>Beugel zonder inlaag M8/M10, 48-52mm</t>
  </si>
  <si>
    <t>BN0440006300000116</t>
  </si>
  <si>
    <t>BIS 3000 voor PVC - M8, 50mm</t>
  </si>
  <si>
    <t>BN0440006300000117</t>
  </si>
  <si>
    <t>PVC zadel, 32mm 1800032</t>
  </si>
  <si>
    <t>BN0440006300000118</t>
  </si>
  <si>
    <t>PVC zadel, 50mm</t>
  </si>
  <si>
    <t>BN0440006300000119</t>
  </si>
  <si>
    <t>WM dakplaat ophangelement M8</t>
  </si>
  <si>
    <t>MPC-Railbeugel voor profiel 38/40, geg.</t>
  </si>
  <si>
    <t>MPC-railconsole 27/18 l= 300mm</t>
  </si>
  <si>
    <t>BN0440006300000123</t>
  </si>
  <si>
    <t> WAV AFVRBS 40 ULTRA3 LG4</t>
  </si>
  <si>
    <t>U</t>
  </si>
  <si>
    <t>BN0440006300000124</t>
  </si>
  <si>
    <t> WAV AFVRBS 32 ULTRA3 LG4</t>
  </si>
  <si>
    <t>BN0440006300000125</t>
  </si>
  <si>
    <t>PVC KIWA BUIS 16X1,5 16ATO LG4</t>
  </si>
  <si>
    <t>BN0440006300000126</t>
  </si>
  <si>
    <t>PVC KIWA BUIS 20X1.5 16ATO LG4</t>
  </si>
  <si>
    <t>BN0440006300000127</t>
  </si>
  <si>
    <t>PIPE VSV ET BUIS 5/8 GRS LG4 16mm</t>
  </si>
  <si>
    <t>BN0440006300000128</t>
  </si>
  <si>
    <t>PIPE VSV UVS LF 19MM LG4 19mm zwart</t>
  </si>
  <si>
    <t>BN0440006300000129</t>
  </si>
  <si>
    <t>PIPE VSV ET BUIS LF 3/4GRS LG4 19mm</t>
  </si>
  <si>
    <t>halogeenvrij CCA 2x0,75 kabel</t>
  </si>
  <si>
    <t>Huishoudkabel Eca Zwart - 3x1,50mm²</t>
  </si>
  <si>
    <t>Aansluitsnoer met stekker 3G1,5 mm²-Z 3M</t>
  </si>
  <si>
    <t>Aansluitsnoer met stekker 3G1,5 mm²-W 3M</t>
  </si>
  <si>
    <t>BN0440006300000136</t>
  </si>
  <si>
    <t>CAN LEIDKOK 10X10MM WIT LG2</t>
  </si>
  <si>
    <t>BN0440006300000137</t>
  </si>
  <si>
    <t>CAN LEIDKOK 15X10MM WIT LG2</t>
  </si>
  <si>
    <t>BN0440006300000138</t>
  </si>
  <si>
    <t>CAN LEIDKOK DRIEHOEK 30X15 LG2</t>
  </si>
  <si>
    <t>BN0440006300000139</t>
  </si>
  <si>
    <t>Universeel PVC druk afvoerbuis wit Ø25mm</t>
  </si>
  <si>
    <t>BN0440006300000140</t>
  </si>
  <si>
    <t>Universeel PVC druk afvoerbuis wit Ø20mm</t>
  </si>
  <si>
    <t>BN0440006300000141</t>
  </si>
  <si>
    <t>Wypall doeken</t>
  </si>
  <si>
    <t>BN0440006300000142</t>
  </si>
  <si>
    <t>Zwarte condensslang 15mm</t>
  </si>
  <si>
    <t>BN0440006300000143</t>
  </si>
  <si>
    <t>Condensslang 0016TU 16 mm, 30 m. per rol</t>
  </si>
  <si>
    <t>BN0440006300000144</t>
  </si>
  <si>
    <t>Condensslang 0020TU 20 mm, 30 m. per rol</t>
  </si>
  <si>
    <t>BN0440006300000145</t>
  </si>
  <si>
    <t>Aspen condensslang PVC zw (ID12x16 mm)</t>
  </si>
  <si>
    <t>BN0440006300000146</t>
  </si>
  <si>
    <t>Yellow Jacket vacuümpompolie Prem. 0,5L</t>
  </si>
  <si>
    <t>BN0440006300000147</t>
  </si>
  <si>
    <t>GRIF BLUE GEL GLIJMID 800GR PT</t>
  </si>
  <si>
    <t>BN0440006300000148</t>
  </si>
  <si>
    <t>GRIF GASLEKZOEKER SHERLOCK BS</t>
  </si>
  <si>
    <t>BN0440006300000149</t>
  </si>
  <si>
    <t>Lekzoekmiddel bellen vorm. - fluoris.</t>
  </si>
  <si>
    <t>BN0440006300000150</t>
  </si>
  <si>
    <t> MMM SCHUURL 314D P120 RO</t>
  </si>
  <si>
    <t>BN0440006300000151</t>
  </si>
  <si>
    <t>ATT KOK + DEKS P25 WIT LG2</t>
  </si>
  <si>
    <t>BN0440006300000152</t>
  </si>
  <si>
    <t>GRIF DUROLIN SCHUURVEZEL ZK10</t>
  </si>
  <si>
    <t>BN0440006300000154</t>
  </si>
  <si>
    <t>Schuursponsjes</t>
  </si>
  <si>
    <t>BN0440006300000155</t>
  </si>
  <si>
    <t>Vikan kleine handwasborstel</t>
  </si>
  <si>
    <t>BN0440006300000156</t>
  </si>
  <si>
    <t>wegwerpkwast plastik steel 35mm/nr. 20</t>
  </si>
  <si>
    <t>BN0440006300000157</t>
  </si>
  <si>
    <t>wegwerpkwast plastik steel 25mm/nr. 14</t>
  </si>
  <si>
    <t>BN0440006300000158</t>
  </si>
  <si>
    <t>Loctite freeze &amp; release a 400ml</t>
  </si>
  <si>
    <t>BN0440006300000160</t>
  </si>
  <si>
    <t>Glas- en interieurreiniging 12x750ml</t>
  </si>
  <si>
    <t>BN0440006300000162</t>
  </si>
  <si>
    <t>OXES HANDSCH LATEX 10/XL DS100</t>
  </si>
  <si>
    <t>BN0440006300000163</t>
  </si>
  <si>
    <t>Hooktite beschermhoes 1000x1000mm</t>
  </si>
  <si>
    <t>BN0440006300000164</t>
  </si>
  <si>
    <t> OXBA HANDSCH KATOEN 10/XL BN12</t>
  </si>
  <si>
    <t>BN0440006300000165</t>
  </si>
  <si>
    <t>NILF FLEECE FILTR BAG AERO DS5</t>
  </si>
  <si>
    <t>BN0440006300000166</t>
  </si>
  <si>
    <t>LOAD PNRMZK GW WT650X1000 SE10</t>
  </si>
  <si>
    <t>BN0440006300000167</t>
  </si>
  <si>
    <t>ATT KOKER MK10 WIT LG2</t>
  </si>
  <si>
    <t>BN0440006300000168</t>
  </si>
  <si>
    <t>Aspen Xtra verdringerslang set</t>
  </si>
  <si>
    <t>BN0440006300000169</t>
  </si>
  <si>
    <t>NILF STOFZAK ATTIX350-360 DS5</t>
  </si>
  <si>
    <t>BN0440006300000170</t>
  </si>
  <si>
    <t>ATT KABELDOOS  AK1 IP65 M20</t>
  </si>
  <si>
    <t>BN0440006300000171</t>
  </si>
  <si>
    <t>WAGO LASKLEM TR/GEEL 5P DS100</t>
  </si>
  <si>
    <t>BN0440006300000172</t>
  </si>
  <si>
    <t>WAGO VERB.KLEM 5X4 TR DS25</t>
  </si>
  <si>
    <t>BN0440006300000173</t>
  </si>
  <si>
    <t>WAGO LASKLEM TR/ORAN 3P DS100</t>
  </si>
  <si>
    <t>BN0440006300000174</t>
  </si>
  <si>
    <t>WAGO VERB.KLEM 3X2,5 GR DS50</t>
  </si>
  <si>
    <t>BN0440006300000175</t>
  </si>
  <si>
    <t>WAGO VERB.KLEM 2X2,5 GR DS50</t>
  </si>
  <si>
    <t>BN0440006300000176</t>
  </si>
  <si>
    <t>MK CONTST RA/BA 16A KL H ZW</t>
  </si>
  <si>
    <t>BN0440006300000177</t>
  </si>
  <si>
    <t>MK CONTST RA/BA 16A KL H WIT</t>
  </si>
  <si>
    <t>BN0440006300000178</t>
  </si>
  <si>
    <t>Zadel met schroefbev. 21,9x15,9 zw</t>
  </si>
  <si>
    <t>BN0440006300000179</t>
  </si>
  <si>
    <t> ELDO BEHUIZ KNST DABP081606GE</t>
  </si>
  <si>
    <t>BN0440006300000180</t>
  </si>
  <si>
    <t>HGR ZEKERING D2 T LE2716</t>
  </si>
  <si>
    <t>BN0440006300000181</t>
  </si>
  <si>
    <t>KLEM VORKKABSCH A1530GS DS100  100200</t>
  </si>
  <si>
    <t>BN0440006300000182</t>
  </si>
  <si>
    <t>KLEM GAFKABSCHN A1540GS DS100  100230</t>
  </si>
  <si>
    <t>BN0440006300000183</t>
  </si>
  <si>
    <t>KLEM PERSKBSC A1532R 1,5 DS100 100190</t>
  </si>
  <si>
    <t>BN0440006300000184</t>
  </si>
  <si>
    <t>KLEM PERSKBSC A1543R 1,5 DS100 100270</t>
  </si>
  <si>
    <t>BN0440006300000185</t>
  </si>
  <si>
    <t>KLEM DOORVERBIND A1525SK DS100  100170</t>
  </si>
  <si>
    <t>BN0440006300000186</t>
  </si>
  <si>
    <t>KLEM VORKKBSCH A2530GS DS100 100600</t>
  </si>
  <si>
    <t>BN0440006300000187</t>
  </si>
  <si>
    <t>KLEM GAFKABSCHN A2540GS DS100 100640</t>
  </si>
  <si>
    <t>BN0440006300000188</t>
  </si>
  <si>
    <t>KLEM PERSKBSC A2553R 2,5 DS100 100730</t>
  </si>
  <si>
    <t>BN0440006300000189</t>
  </si>
  <si>
    <t>KLEM PERSKBSC A2532R 2,5 DS100 100610</t>
  </si>
  <si>
    <t>BN0440006300000190</t>
  </si>
  <si>
    <t>KLEM DOORVERBIND A2527SK DS100 100580</t>
  </si>
  <si>
    <t>BN0440006300000191</t>
  </si>
  <si>
    <t>Grif T88 kiwa lijm 250ml</t>
  </si>
  <si>
    <t>BN0440006300000192</t>
  </si>
  <si>
    <t>Grif cleaner PVC 125ml</t>
  </si>
  <si>
    <t>BN0440006300000193</t>
  </si>
  <si>
    <t>Phoenix Adereindhuls | AITWIN2X1,58BK</t>
  </si>
  <si>
    <t>BN0440006300000194</t>
  </si>
  <si>
    <t>KLAU ADEREINDH 172/8 ZK100</t>
  </si>
  <si>
    <t>BN0440006300000195</t>
  </si>
  <si>
    <t>Adereindhulzen 1x0,75</t>
  </si>
  <si>
    <t>WISK Contmoer M20x1,5</t>
  </si>
  <si>
    <t>BN0440006300000197</t>
  </si>
  <si>
    <t>WISK PAKBUS ESKV M20X1,5</t>
  </si>
  <si>
    <t>BN0440006300000198</t>
  </si>
  <si>
    <t>WISK PAKBUS ESKV M25X1,5</t>
  </si>
  <si>
    <t>BN0440006300000199</t>
  </si>
  <si>
    <t>WISK CONTMOER EMUG M25X1,5</t>
  </si>
  <si>
    <t>BN0440006300000201</t>
  </si>
  <si>
    <t>WISK CONTMOER EMUG M32X1,5</t>
  </si>
  <si>
    <t>Danfoss flare/soldeer FA-7 (7/8)</t>
  </si>
  <si>
    <t>BN0440006300000203</t>
  </si>
  <si>
    <t>B 2-8 afdichtring koper 1/2"</t>
  </si>
  <si>
    <t>BN0440006300000204</t>
  </si>
  <si>
    <t>9600-R 5/8'' - 3/8'' verloopsok i x i</t>
  </si>
  <si>
    <t>BN0440006300000205</t>
  </si>
  <si>
    <t>B 2-6 afdichtring koper 3/8"</t>
  </si>
  <si>
    <t>BN0440006300000206</t>
  </si>
  <si>
    <t>B 2-12 afdichtring koper 3/4"</t>
  </si>
  <si>
    <t>BN0440006300000207</t>
  </si>
  <si>
    <t>9600 3/8 1/2 verloop</t>
  </si>
  <si>
    <t>BN0440006300000208</t>
  </si>
  <si>
    <t>9600-R soldeerverloopsok i x i 3/4"-5/8"</t>
  </si>
  <si>
    <t>BN0440006300000209</t>
  </si>
  <si>
    <t>B 2-4 afdichtring koper 1/4"</t>
  </si>
  <si>
    <t>BN0440006300000210</t>
  </si>
  <si>
    <t>B 2-10 afdichtring koper 5/8"</t>
  </si>
  <si>
    <t>BN0440006300000211</t>
  </si>
  <si>
    <t>9611 soldeer T-stuk 1/2"</t>
  </si>
  <si>
    <t>BN0440006300000212</t>
  </si>
  <si>
    <t>9600 1/4 3/8 verloop</t>
  </si>
  <si>
    <t>BN0440006300000213</t>
  </si>
  <si>
    <t>9600-R soldeerverloopsok i x i 3/4"-1/2"</t>
  </si>
  <si>
    <t>BN0440006300000214</t>
  </si>
  <si>
    <t>9600 1/2 5/8 verloop</t>
  </si>
  <si>
    <t>BN0440006300000215</t>
  </si>
  <si>
    <t>9600-R soldeerverloopsok ixi 1.1/8"-5/8"</t>
  </si>
  <si>
    <t>BN0440006300000216</t>
  </si>
  <si>
    <t>9606 soldeerbocht 45° i x i 1/2"</t>
  </si>
  <si>
    <t>BN0440006300000217</t>
  </si>
  <si>
    <t>9607-LT soldeerbocht 90° i x i 1/2"</t>
  </si>
  <si>
    <t>BN0440006300000218</t>
  </si>
  <si>
    <t>45° bocht 3/4 9606</t>
  </si>
  <si>
    <t>BN0440006300000219</t>
  </si>
  <si>
    <t>9607-LT soldeerbocht 90° i x i 3/4"</t>
  </si>
  <si>
    <t>BN0440006300000220</t>
  </si>
  <si>
    <t>AV6 CPS schraderventiel 3/8" met pijpje</t>
  </si>
  <si>
    <t>BN0440006300000221</t>
  </si>
  <si>
    <t>AV4 schraderventiel 1/4" met pijpje</t>
  </si>
  <si>
    <t>BN0440006300000222</t>
  </si>
  <si>
    <t>45° bocht 5/8 9606</t>
  </si>
  <si>
    <t>BN0440006300000223</t>
  </si>
  <si>
    <t>9607-LT soldeerbocht 90° i x i 5/8"</t>
  </si>
  <si>
    <t>BN0440006300000224</t>
  </si>
  <si>
    <t>45° bocht 7/8 9606</t>
  </si>
  <si>
    <t>BN0440006300000225</t>
  </si>
  <si>
    <t>9607-LT soldeerbocht 90° i x i 7/8"</t>
  </si>
  <si>
    <t>BN0440006300000226</t>
  </si>
  <si>
    <t>BN0440006300000227</t>
  </si>
  <si>
    <t>Purschuim PU-Foam B3 Zwaluw CE 300m</t>
  </si>
  <si>
    <t>BN0440006300000228</t>
  </si>
  <si>
    <t>PURSCHUIM BLIKBS NBS KELFORT BRANDWEREND</t>
  </si>
  <si>
    <t>BN0440006300000229</t>
  </si>
  <si>
    <t>WP7-301 ROOFING WATERDICHT 310ML ZWART</t>
  </si>
  <si>
    <t>BN0440006300000230</t>
  </si>
  <si>
    <t>Seal-it Super-Pro wit 290ml</t>
  </si>
  <si>
    <t>BN0440006300000231</t>
  </si>
  <si>
    <t>Seal-it 352 Super-Pro zwart 290ml</t>
  </si>
  <si>
    <t>BN0440006300000232</t>
  </si>
  <si>
    <t>Siliconenkit No Kelfort zuurvrij z 310ml</t>
  </si>
  <si>
    <t>BN0440006300000233</t>
  </si>
  <si>
    <t>Siliconenkit No Kelfort zuurvrij w 310ml</t>
  </si>
  <si>
    <t>BN0440006300000234</t>
  </si>
  <si>
    <t>Seal-it 216 Silicon SA transparant 310ml</t>
  </si>
  <si>
    <t>BN0440006300000235</t>
  </si>
  <si>
    <t>9600 1/4"sok</t>
  </si>
  <si>
    <t>BN0440006300000236</t>
  </si>
  <si>
    <t>9600 3/8"sok</t>
  </si>
  <si>
    <t>BN0440006300000237</t>
  </si>
  <si>
    <t>9600 soldeersok 1/2"</t>
  </si>
  <si>
    <t>BN0440006300000238</t>
  </si>
  <si>
    <t>9600 soldeersok 5/8"</t>
  </si>
  <si>
    <t>BN0440006300000239</t>
  </si>
  <si>
    <t>9600 3/4 sok</t>
  </si>
  <si>
    <t>BN0440006300000240</t>
  </si>
  <si>
    <t>sok 1 3/8</t>
  </si>
  <si>
    <t>BN0440006300000241</t>
  </si>
  <si>
    <t>9600 7/8 sok</t>
  </si>
  <si>
    <t>BN0440006300000242</t>
  </si>
  <si>
    <t>9600 1.1/8" sok</t>
  </si>
  <si>
    <t>BN0440006300000243</t>
  </si>
  <si>
    <t>9607-LT 1.1/8" bocht 90° i x i</t>
  </si>
  <si>
    <t>BN0440006300000244</t>
  </si>
  <si>
    <t>9606 soldeerbocht 45° i x i 1.1/8"</t>
  </si>
  <si>
    <t>BN0440006300000245</t>
  </si>
  <si>
    <t>9606 soldeerbocht 45° i x i 1.3/8"</t>
  </si>
  <si>
    <t>BN0440006300000246</t>
  </si>
  <si>
    <t>9606 soldeerbocht 45° i x i 1.5/8"</t>
  </si>
  <si>
    <t>BN0440006300000247</t>
  </si>
  <si>
    <t>Spaanplaatschroef platkop verz. 4,0x12</t>
  </si>
  <si>
    <t>BN0440006300000248</t>
  </si>
  <si>
    <t>Kogelscharnier M 8 lang, bus: 51mm</t>
  </si>
  <si>
    <t>BN0440006300000249</t>
  </si>
  <si>
    <t>Adereindhulzen 1x1</t>
  </si>
  <si>
    <t>BN0440006300000250</t>
  </si>
  <si>
    <t>Doorslijpschijf EHT 125-1,0 box a 25 st</t>
  </si>
  <si>
    <t>BN0440006300000251</t>
  </si>
  <si>
    <t>BIS montageband geplast 19mm L=10</t>
  </si>
  <si>
    <t>BN0440006300000252</t>
  </si>
  <si>
    <t>Spaanpl. Schroef 3,0x25 platk. Verz.</t>
  </si>
  <si>
    <t>BN0440006300000253</t>
  </si>
  <si>
    <t>Spaanpl. Schroef 4,0x20 platk.verz.</t>
  </si>
  <si>
    <t>BN0440006300000254</t>
  </si>
  <si>
    <t>Spaanpl. Schroef 4,0x30 platk.verz.</t>
  </si>
  <si>
    <t>BN0440006300000255</t>
  </si>
  <si>
    <t>Spaanpl. Schroef 4,0x40 plakt.verz.</t>
  </si>
  <si>
    <t>BN0440006300000256</t>
  </si>
  <si>
    <t>Houtschroef PGB verzonken kop 6,0x200mm</t>
  </si>
  <si>
    <t>BN0440006300000257</t>
  </si>
  <si>
    <t>Spaanpl. Schroef 5,0x90 platk. Verz.</t>
  </si>
  <si>
    <t>BN0440006300000258</t>
  </si>
  <si>
    <t>Spaanplaatschroef 6.0x150mm</t>
  </si>
  <si>
    <t>BN0440006300000259</t>
  </si>
  <si>
    <t>BN0440006300000260</t>
  </si>
  <si>
    <t>Spaanpl. Schroef 5,0x45 platk. Verz.</t>
  </si>
  <si>
    <t>BN0440006300000261</t>
  </si>
  <si>
    <t>Spaanpl. Schroef 5,0x60 platk. Verz.</t>
  </si>
  <si>
    <t>BN0440006300000262</t>
  </si>
  <si>
    <t>Spaanplaatschroef 5.0x70mm</t>
  </si>
  <si>
    <t>BN0440006300000263</t>
  </si>
  <si>
    <t>Cellenbetonanker metaal M 8</t>
  </si>
  <si>
    <t>BN0440006300000264</t>
  </si>
  <si>
    <t>RapidRail Hammerfix M8 x 90mm</t>
  </si>
  <si>
    <t>BN0440006300000265</t>
  </si>
  <si>
    <t>BIS RapidRail® schuifmoer, M8</t>
  </si>
  <si>
    <t>BN0440006300000266</t>
  </si>
  <si>
    <t>Plafond inslaganker (gat rond 9 mm)</t>
  </si>
  <si>
    <t>BN0440006300000267</t>
  </si>
  <si>
    <t>Grondplaat Type 0 80x30x3,0 M 8 verzinkt</t>
  </si>
  <si>
    <t>BN0440006300000268</t>
  </si>
  <si>
    <t>HM-tuimelplug KV8- M 8 x 100mm(VdS)</t>
  </si>
  <si>
    <t>BN0440006300000269</t>
  </si>
  <si>
    <t>Stokeinden M8 x 80</t>
  </si>
  <si>
    <t>BN0440006300000270</t>
  </si>
  <si>
    <t>RapidRail Hammerfix M8 x 25mm</t>
  </si>
  <si>
    <t>BN0440006300000271</t>
  </si>
  <si>
    <t>RapidRail Hammerfix M8 x 40mm</t>
  </si>
  <si>
    <t>BN0440006300000272</t>
  </si>
  <si>
    <t>Adereindhulzen 2x1</t>
  </si>
  <si>
    <t>BN0440006300000273</t>
  </si>
  <si>
    <t>WaTech muurplaat L= 25mm, M8 bu.dr.</t>
  </si>
  <si>
    <t>BN0440006300000274</t>
  </si>
  <si>
    <t>Stokeinden M8 x 100</t>
  </si>
  <si>
    <t>BN0440006300000275</t>
  </si>
  <si>
    <t>Stokeind M 8x 50 verzinkt ,Torx25</t>
  </si>
  <si>
    <t>BN0440006300000276</t>
  </si>
  <si>
    <t>Doorsteekanker TB1-PLUS M8/5x60mm verz.</t>
  </si>
  <si>
    <t>BN0440006300000277</t>
  </si>
  <si>
    <t>Slagplug verzonken kraag HS 6x10/40-PLUS</t>
  </si>
  <si>
    <t>BN0440006300000278</t>
  </si>
  <si>
    <t>Houtdraadbout DIN 571 verzinkt 8 x 40</t>
  </si>
  <si>
    <t>BN0440006300000279</t>
  </si>
  <si>
    <t>BN0440006300000280</t>
  </si>
  <si>
    <t>Houtdraadbout DIN 571 verzinkt 8 x 80</t>
  </si>
  <si>
    <t>BN0440006300000281</t>
  </si>
  <si>
    <t>Houtdraadbout DIN 571 verzinkt 8 x 120</t>
  </si>
  <si>
    <t>BN0440006300000282</t>
  </si>
  <si>
    <t>Doorsteekanker verz. TB1-PLUS 8x75</t>
  </si>
  <si>
    <t>BN0440006300000283</t>
  </si>
  <si>
    <t>Doorsteekanker verz. TB1-PLUS 10x90</t>
  </si>
  <si>
    <t>BN0440006300000284</t>
  </si>
  <si>
    <t>Houtdraadbout DIN 571 verzinkt 8 x 30</t>
  </si>
  <si>
    <t>BN0440006300000285</t>
  </si>
  <si>
    <t>Houtdraadbout DIN 571 verzinkt 8 x 50</t>
  </si>
  <si>
    <t>BN0440006300000286</t>
  </si>
  <si>
    <t>Houtdraadbout DIN 571 verzinkt 8 x 70</t>
  </si>
  <si>
    <t>BN0440006300000287</t>
  </si>
  <si>
    <t>Houtdraadbout DIN 571 verzinkt 8 x 100</t>
  </si>
  <si>
    <t>BN0440006300000288</t>
  </si>
  <si>
    <t>Gipsplaatplug metaal Fischer</t>
  </si>
  <si>
    <t>BN0440006300000289</t>
  </si>
  <si>
    <t>Superplug Duopower 6x30</t>
  </si>
  <si>
    <t>BN0440006300000290</t>
  </si>
  <si>
    <t>Superplug Duopower 8x40</t>
  </si>
  <si>
    <t>BN0440006300000291</t>
  </si>
  <si>
    <t>BN0440006300000292</t>
  </si>
  <si>
    <t>Messing ankerplug M 8 x 27,5 mm</t>
  </si>
  <si>
    <t>BN0440006300000293</t>
  </si>
  <si>
    <t>Messing ankerplug M 8 x 18 mm</t>
  </si>
  <si>
    <t>BN0440006300000294</t>
  </si>
  <si>
    <t>Inslaganker met kraag M 6x25mm verz.</t>
  </si>
  <si>
    <t>BN0440006300000295</t>
  </si>
  <si>
    <t>Inslaganker M8x25 MKT ES</t>
  </si>
  <si>
    <t>BN0440006300000296</t>
  </si>
  <si>
    <t>MKT inslaganker M10x25 kraag</t>
  </si>
  <si>
    <t>BN0440006300000297</t>
  </si>
  <si>
    <t>Carrosseriering M6</t>
  </si>
  <si>
    <t>BN0440006300000298</t>
  </si>
  <si>
    <t>BN0440006300000299</t>
  </si>
  <si>
    <t>Carrosseriering M8 8,4x24x2,0 (200 st)</t>
  </si>
  <si>
    <t>BN0440006300000300</t>
  </si>
  <si>
    <t>BN0440006300000301</t>
  </si>
  <si>
    <t>Tapbouten M8x70</t>
  </si>
  <si>
    <t>BN0440006300000302</t>
  </si>
  <si>
    <t>Tapbout A2 M 8x25 zeskantkop, volle dr.</t>
  </si>
  <si>
    <t>BN0440006300000303</t>
  </si>
  <si>
    <t>Carrosserieringen dia. 3 DIN 9021 A2 M8</t>
  </si>
  <si>
    <t>BN0440006300000304</t>
  </si>
  <si>
    <t>Carrosserieringen Din 125A 8,4x16x1,6 mm</t>
  </si>
  <si>
    <t>BN0440006300000305</t>
  </si>
  <si>
    <t>BN0440006300000306</t>
  </si>
  <si>
    <t>Tapbout Din 933 M8x25 mm verzinkt, SW13</t>
  </si>
  <si>
    <t>BN0440006300000307</t>
  </si>
  <si>
    <t>Tapbout Din 933 A2 M 8x 30 zeskantkop</t>
  </si>
  <si>
    <t>BN0440006300000308</t>
  </si>
  <si>
    <t>BN0440006300000309</t>
  </si>
  <si>
    <t>Carrosserieringen RVS 304 M8 x 17mm</t>
  </si>
  <si>
    <t>BN0440006300000310</t>
  </si>
  <si>
    <t>Tapbout Din 933 M10x25mm, verzinkt, SW17</t>
  </si>
  <si>
    <t>BN0440006300000311</t>
  </si>
  <si>
    <t>Tapbout RVS, M10 x 30mm</t>
  </si>
  <si>
    <t>BN0440006300000312</t>
  </si>
  <si>
    <t>Carrosserieringen dun M10x30 verzinkt</t>
  </si>
  <si>
    <t>BN0440006300000313</t>
  </si>
  <si>
    <t>Zeskantmoer Din 934 M10 verzinkt</t>
  </si>
  <si>
    <t>BN0440006300000314</t>
  </si>
  <si>
    <t>Verbind. moer Din 6334 M8 verzinkt</t>
  </si>
  <si>
    <t>BN0440006300000315</t>
  </si>
  <si>
    <t>Tapbout Din 933 A2 M10x 40 zeskantkop,</t>
  </si>
  <si>
    <t>BN0440006300000316</t>
  </si>
  <si>
    <t>Carrosserieringen buiten dia. 3 A2 M10</t>
  </si>
  <si>
    <t>BN0440006300000317</t>
  </si>
  <si>
    <t>Tapbout Din 933 A2 M12x 25 zeskantkop</t>
  </si>
  <si>
    <t>BN0440006300000318</t>
  </si>
  <si>
    <t>Carrosserieringen buiten dia. 3 A2 M12</t>
  </si>
  <si>
    <t>BN0440006300000319</t>
  </si>
  <si>
    <t>Facadeschroef (dak- en gevel) RVS 4.8x28</t>
  </si>
  <si>
    <t>BN0440006300000320</t>
  </si>
  <si>
    <t>Zelfborende schroef 5,5 x 19 (100 st.)</t>
  </si>
  <si>
    <t>BN0440006300000321</t>
  </si>
  <si>
    <t>Zelfborende plaatschroef 4,2x13</t>
  </si>
  <si>
    <t>BN0440006300000322</t>
  </si>
  <si>
    <t>Tapbout Din 933 M12x35 RVS A4</t>
  </si>
  <si>
    <t>BN0440006300000323</t>
  </si>
  <si>
    <t>Zeskantmoer M12 DIN 934 RVS A2</t>
  </si>
  <si>
    <t>BN0440006300000324</t>
  </si>
  <si>
    <t>Zelfborende schroef 6,3 x 50</t>
  </si>
  <si>
    <t>BN0440006300000325</t>
  </si>
  <si>
    <t>Tapschr. 4,2x40</t>
  </si>
  <si>
    <t>BN0440006300000326</t>
  </si>
  <si>
    <t>Zelfborende plaatschr. 4,2x19 (1000 st)</t>
  </si>
  <si>
    <t>BN0440006300000327</t>
  </si>
  <si>
    <t>ZS-5 2mm zilversoldeer 5%</t>
  </si>
  <si>
    <t>BN0440006300000328</t>
  </si>
  <si>
    <t>ZS-5 3mm zilversoldeer 5%</t>
  </si>
  <si>
    <t>BN0440006300000330</t>
  </si>
  <si>
    <t>Tapbout M8x100</t>
  </si>
  <si>
    <t>BN0440006300000332</t>
  </si>
  <si>
    <t>Adereindhulzen 2x2,5</t>
  </si>
  <si>
    <t>BN0440006300000343</t>
  </si>
  <si>
    <t>InduMaxx powercleaner 500ml</t>
  </si>
  <si>
    <t>BN0440006300000344</t>
  </si>
  <si>
    <t>InduMaxx Speedwax</t>
  </si>
  <si>
    <t>BN0440006300000345</t>
  </si>
  <si>
    <t>InduMaxx Lijm- &amp; Bitumenremover</t>
  </si>
  <si>
    <t>BN0440006300000346</t>
  </si>
  <si>
    <t>Advanced EasyFresh 400ml</t>
  </si>
  <si>
    <t>BN0440006300000347</t>
  </si>
  <si>
    <t>GRIF CS90 CONTACTSPR 200ML BS</t>
  </si>
  <si>
    <t>BN0440006300000348</t>
  </si>
  <si>
    <t>Taski foam</t>
  </si>
  <si>
    <t>BN0440006300000349</t>
  </si>
  <si>
    <t> GRIF GALVATEC ZINKSPR 400ML BS</t>
  </si>
  <si>
    <t>BN0440006300000350</t>
  </si>
  <si>
    <t>Griffon PU-Foam Cleaner</t>
  </si>
  <si>
    <t>BN0440006300000351</t>
  </si>
  <si>
    <t>BN0440006300000352</t>
  </si>
  <si>
    <t> WD40 450ML SMART MULTSPR BS</t>
  </si>
  <si>
    <t>BN0440006300000353</t>
  </si>
  <si>
    <t>BN0440006300000354</t>
  </si>
  <si>
    <t>draadeind 10mm 2meter</t>
  </si>
  <si>
    <t>BN0440006300000355</t>
  </si>
  <si>
    <t>BN0440006300000356</t>
  </si>
  <si>
    <t>draadeind 8mm 1meter</t>
  </si>
  <si>
    <t>BN0440006300000357</t>
  </si>
  <si>
    <t>draadeind 10mm 1meter</t>
  </si>
  <si>
    <t>BN0440006300000358</t>
  </si>
  <si>
    <t>Pipelife sok 19mm grijs ZK50</t>
  </si>
  <si>
    <t>BN0440006300000359</t>
  </si>
  <si>
    <t>RVS beugel Ø 125</t>
  </si>
  <si>
    <t>Voedingskabel YMvK - Dca - 3x2,50mm²-50m</t>
  </si>
  <si>
    <t>BN0440006300000361</t>
  </si>
  <si>
    <t>WAGO DOORVOERCONN 4M DS60</t>
  </si>
  <si>
    <t>Railconsole 27/18 L= 315mm</t>
  </si>
  <si>
    <t>BN0440006300000367</t>
  </si>
  <si>
    <t>Afsluitkap MPC-rail profiel 38/40&amp;38/80</t>
  </si>
  <si>
    <t>BN0440006300000368</t>
  </si>
  <si>
    <t>Afsluitkap 27/18</t>
  </si>
  <si>
    <t>BN0440006300000369</t>
  </si>
  <si>
    <t>Balkklem C-model M 8 (max.18 mm) klemb.</t>
  </si>
  <si>
    <t>BN0440006300000370</t>
  </si>
  <si>
    <t>MPC-Schuifmoer M8, 33x23x6mm gegalv.</t>
  </si>
  <si>
    <t>BN0440006300000371</t>
  </si>
  <si>
    <t>Kabelbinder 530x9</t>
  </si>
  <si>
    <t>BN0440006300000372</t>
  </si>
  <si>
    <t>Ty-Fast kabelbinder 916x8,8mm zwart 50st</t>
  </si>
  <si>
    <t>BN0440006300000373</t>
  </si>
  <si>
    <t>Ty-Fast kabelbinder 1220x8,8mm zwart</t>
  </si>
  <si>
    <t>BN0440006300000374</t>
  </si>
  <si>
    <t> WAFX BOCHT 45GR 125MM 2XMOF</t>
  </si>
  <si>
    <t>BN0440006300000375</t>
  </si>
  <si>
    <t>WISK PAKBUS ESKV M32X1,5</t>
  </si>
  <si>
    <t>BN0440006300000377</t>
  </si>
  <si>
    <t>Mantelbuis (zwart) – Ø63 mm (50 m)</t>
  </si>
  <si>
    <t>PM07SP.NSJ wandmodel binnenunit</t>
  </si>
  <si>
    <t>MU2R15.UL0 buitenunit</t>
  </si>
  <si>
    <t>BN0440006300000386</t>
  </si>
  <si>
    <t>Soldeer T-stuk 5/8"</t>
  </si>
  <si>
    <t>PC12SQ.NSJ wandmodel binnenunit</t>
  </si>
  <si>
    <t>BN0440006300000390</t>
  </si>
  <si>
    <t>CRC 33250-AA Soldeergas</t>
  </si>
  <si>
    <t>DRAK VULT DCA-S2 5G6 MT</t>
  </si>
  <si>
    <t>BN0440006300000392</t>
  </si>
  <si>
    <t>SLANGKLEM 13-20MM/9MM</t>
  </si>
  <si>
    <t>PVC bocht grijs 45 gr. SN4 125 mm mof/sp</t>
  </si>
  <si>
    <t>Doorz. PVC slang 6x10</t>
  </si>
  <si>
    <t>Gewapende PVC slang 10X 16X 3.0 transp.</t>
  </si>
  <si>
    <t>Alum. plakplaat 125mm EW</t>
  </si>
  <si>
    <t>Inoac platte bocht 45° NM100</t>
  </si>
  <si>
    <t>Inoac verstelb. bocht hor./vert. NCX100</t>
  </si>
  <si>
    <t>Inoac platte korte bocht 90° NH100</t>
  </si>
  <si>
    <t>Inoac verbindingssok NS100</t>
  </si>
  <si>
    <t>Inoac stijgende bocht 45° NU100</t>
  </si>
  <si>
    <t>Inoac stijgende korte bocht 90° NL100</t>
  </si>
  <si>
    <t>Inoac stijgende buiten bocht 90° NC100</t>
  </si>
  <si>
    <t>Inoac verstelb. pl. bocht 45-90° NX100</t>
  </si>
  <si>
    <t>Inoac platte bocht 45° NM75</t>
  </si>
  <si>
    <t>Inoac plafond/wand-eindstuk NA75</t>
  </si>
  <si>
    <t>Inoac stijgende buiten bocht 90° NC75</t>
  </si>
  <si>
    <t>Inoac st. korte buiten bocht 90° NL75</t>
  </si>
  <si>
    <t>Inoac stijgende bocht 45° NU75</t>
  </si>
  <si>
    <t>Inoac verstelb. bocht hor./vert. NCX75</t>
  </si>
  <si>
    <t>Inoac verstelb. platte bocht 45-90° NX75</t>
  </si>
  <si>
    <t>Inoac plafond/wand-eindstuk NA100</t>
  </si>
  <si>
    <t>Inoac platte korte bocht 90° NH75</t>
  </si>
  <si>
    <t>Inoac plafond/wand-rozet NK75</t>
  </si>
  <si>
    <t>Inoac stijgende S-buiten bocht NZK75</t>
  </si>
  <si>
    <t>Inoac verbindingssok NS75</t>
  </si>
  <si>
    <t>Inoac T-stuk incl. 2x verloop 60 NT75</t>
  </si>
  <si>
    <t>Inoac verstelb. st. bocht 45-90° NZ75</t>
  </si>
  <si>
    <t>Inoac stijgende buiten bocht 90° NC75-W</t>
  </si>
  <si>
    <t>Inoac plafond/wand eindstuk NA75-W</t>
  </si>
  <si>
    <t>Inoac platte korte bocht 90° NH75-W</t>
  </si>
  <si>
    <t>Inoac platte bocht 45° NM75-W</t>
  </si>
  <si>
    <t>Inoac T-stuk incl. 2 x verloop 60 NT75-W</t>
  </si>
  <si>
    <t>Inoac verstelb. pl. bocht 45-90° NX75-W</t>
  </si>
  <si>
    <t>Inoac verbindingssok NS75-W</t>
  </si>
  <si>
    <t>Inoac stijgende bocht 45°</t>
  </si>
  <si>
    <t>Inoac stijgende S-buiten bocht NZK75-W</t>
  </si>
  <si>
    <t>Inoac verstelb. st. bocht 45-90° NZ75W</t>
  </si>
  <si>
    <t>Inoac verstelb. bocht hor./vert. NCX75-W</t>
  </si>
  <si>
    <t>Aircobase balk recycled Heavy Duty 1,5m</t>
  </si>
  <si>
    <t>Rodigas MS207 wandbeugel met aluminium</t>
  </si>
  <si>
    <t>MPC-consoleset zonder geluidd. l=560</t>
  </si>
  <si>
    <t>Aspen pomp heavy duty 6m, 4,0l</t>
  </si>
  <si>
    <t>Mega Blue pomp sensor (temperatuur)</t>
  </si>
  <si>
    <t>Aspen Heavy-duty condenstankpomp 10m 4,0</t>
  </si>
  <si>
    <t>Mega Blue pomp reservoir X87-813</t>
  </si>
  <si>
    <t>Aspen pomp Mini Aqua Silent+</t>
  </si>
  <si>
    <t>MiniBlue pomp sensor (temperatuur)</t>
  </si>
  <si>
    <t>Aspen pomp Mini Lime Silent+Inoac goot</t>
  </si>
  <si>
    <t>Aspen tankpomp MAX Hi-Flow 1,7L</t>
  </si>
  <si>
    <t>MaxiBlue pomp condenspomp met temp. sens</t>
  </si>
  <si>
    <t>Aspen pomp Mini Lime Silent+ (losse pomp</t>
  </si>
  <si>
    <t>BlueDiamond rubberen montagevoeten</t>
  </si>
  <si>
    <t>MiniBlue condenspomp+koelsign 8 l/u</t>
  </si>
  <si>
    <t>MicroBlue pomp sensor (temp.) X85-005</t>
  </si>
  <si>
    <t>BlueDiamond MicroBlue pomp res. X85-001</t>
  </si>
  <si>
    <t>Aspen pomp Mini Orange Silent+</t>
  </si>
  <si>
    <t>Danfoss flare/soldeer FSA 66 3/4"</t>
  </si>
  <si>
    <t>Koudemiddel R32</t>
  </si>
  <si>
    <t>BN04400063090000Z4</t>
  </si>
  <si>
    <t>Zuurstof 4L</t>
  </si>
  <si>
    <t>BOT</t>
  </si>
  <si>
    <t>Koudemiddel R410A</t>
  </si>
  <si>
    <t>BN0440006309000S10</t>
  </si>
  <si>
    <t>Stikstof 10L</t>
  </si>
  <si>
    <t>Danfoss flare/soldeer FSA 22 1/4</t>
  </si>
  <si>
    <t>Danfoss flare/soldeer FSA 33 3/8</t>
  </si>
  <si>
    <t>Danfoss flare/soldeer FSA 44 1/2</t>
  </si>
  <si>
    <t>Danfoss flare/soldeer FSA 516 5/8</t>
  </si>
  <si>
    <t>ILP bloc high 0,60 x 019 x 0,20m incl.</t>
  </si>
  <si>
    <t>Audio cable 1x2x1.23 mm 91002</t>
  </si>
  <si>
    <t>Stuurstroomkabel Cca 3x2,5 mm2</t>
  </si>
  <si>
    <t>Stuurstroomkabel LSOH Cca 4x1,5 mm2</t>
  </si>
  <si>
    <t>Stuurstroomkabel grijs 5x1,0 mm2</t>
  </si>
  <si>
    <t>Stuurstroomkabel Cca 5x2,5 mm2</t>
  </si>
  <si>
    <t>Codex artikelnummer</t>
  </si>
  <si>
    <t>Grijpvoorraad</t>
  </si>
  <si>
    <t>Projectvoorraad</t>
  </si>
  <si>
    <t>BN0440006328000025</t>
  </si>
  <si>
    <t>Bedrijfsnaam en nevenvestigingen</t>
  </si>
  <si>
    <t>Bezoekadres</t>
  </si>
  <si>
    <t>Postcode</t>
  </si>
  <si>
    <t>Plaats</t>
  </si>
  <si>
    <t>Tel.nr.</t>
  </si>
  <si>
    <t>KvK</t>
  </si>
  <si>
    <t>Laatste wijziging</t>
  </si>
  <si>
    <t>Hoofdrelatie</t>
  </si>
  <si>
    <t>Blom Elektrotechniek B.V</t>
  </si>
  <si>
    <t>De Camper 10</t>
  </si>
  <si>
    <t>1749 BX</t>
  </si>
  <si>
    <t>WARMENHUIZEN</t>
  </si>
  <si>
    <t>088-3920000</t>
  </si>
  <si>
    <t>ja</t>
  </si>
  <si>
    <t>Blom Service &amp; Onderhoudplus</t>
  </si>
  <si>
    <t>Wijkermeerweg 25</t>
  </si>
  <si>
    <t>1948 NT</t>
  </si>
  <si>
    <t>BEVERWIJK</t>
  </si>
  <si>
    <t>088-3920022</t>
  </si>
  <si>
    <t>nee</t>
  </si>
  <si>
    <t>Schipper &amp; Zn Elektrotechniek</t>
  </si>
  <si>
    <t>Langeweg 14</t>
  </si>
  <si>
    <t>3244 BH</t>
  </si>
  <si>
    <t>NIEUWE TONGE</t>
  </si>
  <si>
    <t>0187-651777</t>
  </si>
  <si>
    <t>Bruens Electrotechniek B.V.</t>
  </si>
  <si>
    <t>Motorkade 7 A</t>
  </si>
  <si>
    <t>1021 JR</t>
  </si>
  <si>
    <t>AMSTERDAM</t>
  </si>
  <si>
    <t>* nieuw lid per 01-01-2025</t>
  </si>
  <si>
    <t>Van den Broek Systemen B.V.</t>
  </si>
  <si>
    <t>Batavenweg 13</t>
  </si>
  <si>
    <t>5349 BC</t>
  </si>
  <si>
    <t>OSS</t>
  </si>
  <si>
    <t>0412-643400</t>
  </si>
  <si>
    <t>16054667</t>
  </si>
  <si>
    <t>Brusche Elektrotechniek</t>
  </si>
  <si>
    <t>Twentepoort west 29</t>
  </si>
  <si>
    <t>7609 RD</t>
  </si>
  <si>
    <t>ALMELO</t>
  </si>
  <si>
    <t>0546-863227</t>
  </si>
  <si>
    <t>06045193</t>
  </si>
  <si>
    <t>Brusche Proces Technology B.V.</t>
  </si>
  <si>
    <t>Vandoren B.V.</t>
  </si>
  <si>
    <t>De Vlonder 3</t>
  </si>
  <si>
    <t>5427 DB</t>
  </si>
  <si>
    <t>BOEKEL</t>
  </si>
  <si>
    <t>0492-747500</t>
  </si>
  <si>
    <t>*Juridische fusie en naamswijziging per 01-01-2025</t>
  </si>
  <si>
    <t>Takkebijsters 53</t>
  </si>
  <si>
    <t>4817 BL</t>
  </si>
  <si>
    <t>BREDA</t>
  </si>
  <si>
    <t>Herfordstraat 5</t>
  </si>
  <si>
    <t>7418 EX</t>
  </si>
  <si>
    <t>DEVENTER</t>
  </si>
  <si>
    <t>0570-631218</t>
  </si>
  <si>
    <t>Weerbroek 22-B</t>
  </si>
  <si>
    <t>6666 MN</t>
  </si>
  <si>
    <t>HETEREN</t>
  </si>
  <si>
    <t>Kalkovenweg 24</t>
  </si>
  <si>
    <t>7711 GW</t>
  </si>
  <si>
    <t>NIEUWLEUSEN</t>
  </si>
  <si>
    <t>0529-700225</t>
  </si>
  <si>
    <t>Nanningaweg 37</t>
  </si>
  <si>
    <t>8431 AC</t>
  </si>
  <si>
    <t>OOSTERWOLDE</t>
  </si>
  <si>
    <t>John F. Kennedylaan 218</t>
  </si>
  <si>
    <t>5981 WX</t>
  </si>
  <si>
    <t>PANNINGEN</t>
  </si>
  <si>
    <t>Reeuwijkse Poort 210</t>
  </si>
  <si>
    <t>2811 MZ</t>
  </si>
  <si>
    <t>REEUWIJK</t>
  </si>
  <si>
    <t>0182-300874</t>
  </si>
  <si>
    <t>Gildetrom 12</t>
  </si>
  <si>
    <t>3905  TC</t>
  </si>
  <si>
    <t>VEENENDAAL</t>
  </si>
  <si>
    <t>Vandoren Productie-ICT B.V.</t>
  </si>
  <si>
    <t>Doornhoek 3870</t>
  </si>
  <si>
    <t>5465 TB</t>
  </si>
  <si>
    <t>VEGHEL</t>
  </si>
  <si>
    <t>088-0089500</t>
  </si>
  <si>
    <t xml:space="preserve">*Naamswijziging per 01-01-2025, voorheen Van Doren MES BV. </t>
  </si>
  <si>
    <t>Flowfirm B.V.</t>
  </si>
  <si>
    <t>Jacob Roggeveenstraat 3</t>
  </si>
  <si>
    <t>7825 VX</t>
  </si>
  <si>
    <t>EMMEN</t>
  </si>
  <si>
    <t>Hopbrouwer 8</t>
  </si>
  <si>
    <t>5253 RD</t>
  </si>
  <si>
    <t>NIEUWKUIJK</t>
  </si>
  <si>
    <t>Endenburg Elektrotechniek B.V.</t>
  </si>
  <si>
    <t>Pr. P. Christiaanstraat 50</t>
  </si>
  <si>
    <t>3066 TB</t>
  </si>
  <si>
    <t>ROTTERDAM</t>
  </si>
  <si>
    <t>010-4523822</t>
  </si>
  <si>
    <t>24154312</t>
  </si>
  <si>
    <t>hollander techniek b.v.</t>
  </si>
  <si>
    <t>Boogschutterstraat 30</t>
  </si>
  <si>
    <t>7324 AG</t>
  </si>
  <si>
    <t>APELDOORN</t>
  </si>
  <si>
    <t>055-3681111</t>
  </si>
  <si>
    <t>08035333</t>
  </si>
  <si>
    <t>Edvard Munchweg 40</t>
  </si>
  <si>
    <t>1328 MJ</t>
  </si>
  <si>
    <t>ALMERE</t>
  </si>
  <si>
    <t>036-5487487</t>
  </si>
  <si>
    <t>Beeldschermweg 1</t>
  </si>
  <si>
    <t>3821 AH</t>
  </si>
  <si>
    <t>AMERSFOORT</t>
  </si>
  <si>
    <t>033-4543080</t>
  </si>
  <si>
    <t>Twentepoort west 55</t>
  </si>
  <si>
    <t>0546-533111</t>
  </si>
  <si>
    <t>Bennink Klimaattechniek BV</t>
  </si>
  <si>
    <t>Zuiddijk 386</t>
  </si>
  <si>
    <t>1505 HE</t>
  </si>
  <si>
    <t>ZAANDAM</t>
  </si>
  <si>
    <t>020-6301122</t>
  </si>
  <si>
    <t>Hoppenbrouwers Techniek B.V.</t>
  </si>
  <si>
    <t>Kreitenmolenstraat 201</t>
  </si>
  <si>
    <t>5071 ND</t>
  </si>
  <si>
    <t>UDENHOUT</t>
  </si>
  <si>
    <t>013-5117227</t>
  </si>
  <si>
    <t>18034290</t>
  </si>
  <si>
    <t>Dr.H. Van Doorneweg 44</t>
  </si>
  <si>
    <t>5753 PM</t>
  </si>
  <si>
    <t>DEURNE</t>
  </si>
  <si>
    <t>ASTEN</t>
  </si>
  <si>
    <t>DONGEN</t>
  </si>
  <si>
    <t>I.B.C .weg 6</t>
  </si>
  <si>
    <t>5683 PK</t>
  </si>
  <si>
    <t>BEST</t>
  </si>
  <si>
    <t>Osseweg 3</t>
  </si>
  <si>
    <t>5384 NA</t>
  </si>
  <si>
    <t>HEESCH</t>
  </si>
  <si>
    <t>Veldsteen 23</t>
  </si>
  <si>
    <t>4815  PK</t>
  </si>
  <si>
    <t>Aziëlaan 12</t>
  </si>
  <si>
    <t>5232 BA</t>
  </si>
  <si>
    <t>Hudsondreef 40</t>
  </si>
  <si>
    <t>3565  AV</t>
  </si>
  <si>
    <t>UTRECHT</t>
  </si>
  <si>
    <t>Bijdorpplein 19</t>
  </si>
  <si>
    <t>2992 LB</t>
  </si>
  <si>
    <t>BARENDRECHT</t>
  </si>
  <si>
    <t>Dr. Nolenslaan 136</t>
  </si>
  <si>
    <t>6136 GV</t>
  </si>
  <si>
    <t>SITTARD</t>
  </si>
  <si>
    <t>Bleskolksingel 5</t>
  </si>
  <si>
    <t>7602 PE</t>
  </si>
  <si>
    <t>J.W. Lucasweg 14</t>
  </si>
  <si>
    <t>2031 BE</t>
  </si>
  <si>
    <t>HAARLEM</t>
  </si>
  <si>
    <t>Elektrotechnisch Buro Marcel Vittali</t>
  </si>
  <si>
    <t xml:space="preserve">Lange Bogaardstraat 5 </t>
  </si>
  <si>
    <t>2011 WT</t>
  </si>
  <si>
    <t>023-5424688</t>
  </si>
  <si>
    <t>Industrieweg 44</t>
  </si>
  <si>
    <t>3241 MA</t>
  </si>
  <si>
    <t>MIDDELHARNIS</t>
  </si>
  <si>
    <t>van Heemstraatweg 47</t>
  </si>
  <si>
    <t>6654 KD</t>
  </si>
  <si>
    <t>AFFERDEN</t>
  </si>
  <si>
    <t>Bakenhofweg 30</t>
  </si>
  <si>
    <t>6833 HD</t>
  </si>
  <si>
    <t>ARNHEM</t>
  </si>
  <si>
    <t>Hoppenbrouwers Techniek Hoogeveen</t>
  </si>
  <si>
    <t>Stephensonstraat 145</t>
  </si>
  <si>
    <t>7903 AS</t>
  </si>
  <si>
    <t>HOOGEVEEN</t>
  </si>
  <si>
    <t>Hoppenbrouwers Techniek Veendam</t>
  </si>
  <si>
    <t>Transportweg 48 C</t>
  </si>
  <si>
    <t>9645 KX</t>
  </si>
  <si>
    <t>VEENDAM</t>
  </si>
  <si>
    <t>Hoogeveenenweg 91</t>
  </si>
  <si>
    <t>2913 LV</t>
  </si>
  <si>
    <t>NIEUWERKERK AD IJSSEL</t>
  </si>
  <si>
    <t>Hoppenbrouwers Techniek Schijndel</t>
  </si>
  <si>
    <t>Spoorlaan 60</t>
  </si>
  <si>
    <t>5481 SK</t>
  </si>
  <si>
    <t>SCHIJNDEL</t>
  </si>
  <si>
    <t>Van Hout adviseurs en installateurs B.V.</t>
  </si>
  <si>
    <t>De Run 5443</t>
  </si>
  <si>
    <t>5504 DG</t>
  </si>
  <si>
    <t>VELDHOVEN</t>
  </si>
  <si>
    <t>040-2532352</t>
  </si>
  <si>
    <t>InnQ Installaties B.V.</t>
  </si>
  <si>
    <t>Transistorstraat 2A</t>
  </si>
  <si>
    <t xml:space="preserve">1322 CE </t>
  </si>
  <si>
    <t>036-5350514</t>
  </si>
  <si>
    <t>68020627</t>
  </si>
  <si>
    <t>Klimaatservice Holland BV</t>
  </si>
  <si>
    <t>Nijverheidsstraat 31</t>
  </si>
  <si>
    <t>3371  XE</t>
  </si>
  <si>
    <t>HARDINXVELD-GIESSENDAM</t>
  </si>
  <si>
    <t>0184-613911</t>
  </si>
  <si>
    <t>23038206</t>
  </si>
  <si>
    <t>Elektroservice Holland BV</t>
  </si>
  <si>
    <t>23041048</t>
  </si>
  <si>
    <t>Dorst Installatietechniek BV</t>
  </si>
  <si>
    <t>Pascal 21</t>
  </si>
  <si>
    <t>3241  MB</t>
  </si>
  <si>
    <t>23071624</t>
  </si>
  <si>
    <t>Staal Gorkum BV</t>
  </si>
  <si>
    <t>23012726</t>
  </si>
  <si>
    <t>Hessenbergweg 75</t>
  </si>
  <si>
    <t>1101  CS</t>
  </si>
  <si>
    <t>Laan van 's-Gravenmade 40N</t>
  </si>
  <si>
    <t>2495  AJ</t>
  </si>
  <si>
    <t>DEN HAAG</t>
  </si>
  <si>
    <t>Linthorst Techniek BV</t>
  </si>
  <si>
    <t>Wenumsedwarsweg 18</t>
  </si>
  <si>
    <t>7345  AS</t>
  </si>
  <si>
    <t>055-3122121</t>
  </si>
  <si>
    <t>08185413</t>
  </si>
  <si>
    <t>Tecco Group</t>
  </si>
  <si>
    <t>Kleine Breinder 2</t>
  </si>
  <si>
    <t>6365 ET</t>
  </si>
  <si>
    <t>SCHINNEN</t>
  </si>
  <si>
    <t>Tecco Installaties</t>
  </si>
  <si>
    <t>Tecco Bouw</t>
  </si>
  <si>
    <t>Tecco Maintenance</t>
  </si>
  <si>
    <t>Lodema Elektrotechniek bv</t>
  </si>
  <si>
    <t>Uranusweg 12</t>
  </si>
  <si>
    <t>8938 AJ</t>
  </si>
  <si>
    <t>LEEUWARDEN</t>
  </si>
  <si>
    <t>058-2881922</t>
  </si>
  <si>
    <t>01057656</t>
  </si>
  <si>
    <t>Lomans Amersfoort B.V.</t>
  </si>
  <si>
    <t>Astronaut 32</t>
  </si>
  <si>
    <t>3824 MJ</t>
  </si>
  <si>
    <t>033-7505400</t>
  </si>
  <si>
    <t>31000591</t>
  </si>
  <si>
    <t>Lomans Capelle B.V.</t>
  </si>
  <si>
    <t>Barckalaan 10</t>
  </si>
  <si>
    <t>2903 VC</t>
  </si>
  <si>
    <t>CAPELLE AD IJSSEL</t>
  </si>
  <si>
    <t>24124533</t>
  </si>
  <si>
    <t>Elektrotechniek Van den Berg B.V.</t>
  </si>
  <si>
    <t>t Koendert 1</t>
  </si>
  <si>
    <t>3831 RB</t>
  </si>
  <si>
    <t>LEUSDEN</t>
  </si>
  <si>
    <t>62753290</t>
  </si>
  <si>
    <t>Montage Jongens BV</t>
  </si>
  <si>
    <t>63548933</t>
  </si>
  <si>
    <t>De Groene Jongens BV</t>
  </si>
  <si>
    <t>Nachtegaalstraat 60 BS</t>
  </si>
  <si>
    <t>3581 AL</t>
  </si>
  <si>
    <t>Mansveld Techniek BV</t>
  </si>
  <si>
    <t>Le Havre 1</t>
  </si>
  <si>
    <t>5627 ST</t>
  </si>
  <si>
    <t>EINDHOVEN</t>
  </si>
  <si>
    <t>040-2591111</t>
  </si>
  <si>
    <t>17050427</t>
  </si>
  <si>
    <t>Mansveld Elektrotechniek BV</t>
  </si>
  <si>
    <t>17093607</t>
  </si>
  <si>
    <t>Live Communication &amp; Events BV</t>
  </si>
  <si>
    <t>17250466</t>
  </si>
  <si>
    <t>Mansveld Industriele Techniek B.V.</t>
  </si>
  <si>
    <t>Kuiper 8</t>
  </si>
  <si>
    <t>5521 DH</t>
  </si>
  <si>
    <t>EERSEL</t>
  </si>
  <si>
    <t>63118815</t>
  </si>
  <si>
    <t>Mansveld Expotech Infra</t>
  </si>
  <si>
    <t>Europaplein 24</t>
  </si>
  <si>
    <t>1078 GZ</t>
  </si>
  <si>
    <t>34138134</t>
  </si>
  <si>
    <t>Mansveld Expotech Projects BV</t>
  </si>
  <si>
    <t>Modderkolk Projects and Maintenance B.V.</t>
  </si>
  <si>
    <t>Nieuweweg 101</t>
  </si>
  <si>
    <t>6603 BK</t>
  </si>
  <si>
    <t>WIJCHEN</t>
  </si>
  <si>
    <t>024-6486400</t>
  </si>
  <si>
    <t>10022937</t>
  </si>
  <si>
    <t>Technoforum B.V.</t>
  </si>
  <si>
    <t>Technoforum 9 7 B.V.</t>
  </si>
  <si>
    <t>Kasteellaan 16</t>
  </si>
  <si>
    <t>6602 DE</t>
  </si>
  <si>
    <t>Paree B.V. Elektro-Telecom</t>
  </si>
  <si>
    <t>Werrilaan 8</t>
  </si>
  <si>
    <t>4453 CC</t>
  </si>
  <si>
    <t>s-HEERENHOEK</t>
  </si>
  <si>
    <t>0113-352440</t>
  </si>
  <si>
    <t>22023815</t>
  </si>
  <si>
    <t>InTec Installatietechniek BV</t>
  </si>
  <si>
    <t>Kloosterweg 16</t>
  </si>
  <si>
    <t>4421  PV</t>
  </si>
  <si>
    <t>KAPELLE</t>
  </si>
  <si>
    <t>58242767</t>
  </si>
  <si>
    <t>SDR Elektrotechniek B.V.</t>
  </si>
  <si>
    <t>Propellerstraat 1</t>
  </si>
  <si>
    <t>1059 CB</t>
  </si>
  <si>
    <t>020-5110880</t>
  </si>
  <si>
    <t>33160236</t>
  </si>
  <si>
    <t>Van Stratum Techniek B.V.</t>
  </si>
  <si>
    <t>De Hooge Akker 17</t>
  </si>
  <si>
    <t>5661  NG</t>
  </si>
  <si>
    <t>GELDROP</t>
  </si>
  <si>
    <t>040-2800028</t>
  </si>
  <si>
    <t>17040307</t>
  </si>
  <si>
    <t>Kerkers Elektro B.V.</t>
  </si>
  <si>
    <t>van Kuppenveldweg 6</t>
  </si>
  <si>
    <t>5721 TB</t>
  </si>
  <si>
    <t>0493-699762</t>
  </si>
  <si>
    <t>TVB</t>
  </si>
  <si>
    <t>Swammerdamweg 7</t>
  </si>
  <si>
    <t>3401 MP</t>
  </si>
  <si>
    <t>IJSSELSTEIN UT</t>
  </si>
  <si>
    <t>30236592</t>
  </si>
  <si>
    <t>Terberg Totaal Installaties Utrecht bv</t>
  </si>
  <si>
    <t>30019658</t>
  </si>
  <si>
    <t>Terberg Mobile bv</t>
  </si>
  <si>
    <t>Swammerdamweg 9</t>
  </si>
  <si>
    <t>30173729</t>
  </si>
  <si>
    <t>Terberg Teleconsult bv</t>
  </si>
  <si>
    <t>52044483</t>
  </si>
  <si>
    <t>Terberg Totaal Installaties Rotterdam B.V.</t>
  </si>
  <si>
    <t>Jan Leentvaarlaan 14</t>
  </si>
  <si>
    <t>3065  DC</t>
  </si>
  <si>
    <t>51493306</t>
  </si>
  <si>
    <t>Terberg IP Products and Solutions B.V.</t>
  </si>
  <si>
    <t>IJSSELSTEIN</t>
  </si>
  <si>
    <t>51477211</t>
  </si>
  <si>
    <t>ITSupervision B.V.</t>
  </si>
  <si>
    <t>Linnaeusweg 2</t>
  </si>
  <si>
    <t>3401 MS</t>
  </si>
  <si>
    <t>30275480</t>
  </si>
  <si>
    <t>Technisch Beheer Nederland BV</t>
  </si>
  <si>
    <t>54138620</t>
  </si>
  <si>
    <t>Terberg Industries bv</t>
  </si>
  <si>
    <t>Hoofdweg 326</t>
  </si>
  <si>
    <t>2908 LC</t>
  </si>
  <si>
    <t>CAPELLE A/D IJSSEL</t>
  </si>
  <si>
    <t>57477531</t>
  </si>
  <si>
    <t>Loodgietersbedrijf N.J. van den Broek</t>
  </si>
  <si>
    <t>Lorentzlaan 19</t>
  </si>
  <si>
    <t>3401 MX</t>
  </si>
  <si>
    <t>30187866</t>
  </si>
  <si>
    <t>E-Control BV</t>
  </si>
  <si>
    <t>11042537</t>
  </si>
  <si>
    <t>STB B.V.</t>
  </si>
  <si>
    <t>Leemkuil 11</t>
  </si>
  <si>
    <t>5626  EA</t>
  </si>
  <si>
    <t>17074021</t>
  </si>
  <si>
    <t>Ringeveste 13</t>
  </si>
  <si>
    <t>3992 DD</t>
  </si>
  <si>
    <t>HOUTEN</t>
  </si>
  <si>
    <t>VR Techniek B.V. (Van Rennes Elektro &amp; Installatietechniek)</t>
  </si>
  <si>
    <t>Rijksstraatweg 1</t>
  </si>
  <si>
    <t>3286 LS</t>
  </si>
  <si>
    <t>KLAASWAAL</t>
  </si>
  <si>
    <t>Home Service Nederland B.V.</t>
  </si>
  <si>
    <t>3065 DC</t>
  </si>
  <si>
    <t>VR Technisch Beheer B.V.</t>
  </si>
  <si>
    <t>VR Totaal Installaties B.V.</t>
  </si>
  <si>
    <t>MVIE Geluidssystemen BV</t>
  </si>
  <si>
    <t>Papland 6</t>
  </si>
  <si>
    <t>4206 CL</t>
  </si>
  <si>
    <t>GORINCHEM</t>
  </si>
  <si>
    <t>Tibo-veen B.V.</t>
  </si>
  <si>
    <t>Grotestraat 28</t>
  </si>
  <si>
    <t>4264 RL</t>
  </si>
  <si>
    <t>VEEN</t>
  </si>
  <si>
    <t>0416-691633</t>
  </si>
  <si>
    <t>18107751</t>
  </si>
  <si>
    <t>Verweij Elektrotechniek</t>
  </si>
  <si>
    <t>5e Garnizoensdok 6</t>
  </si>
  <si>
    <t>3439 JE</t>
  </si>
  <si>
    <t>NIEUWEGEIN</t>
  </si>
  <si>
    <t>030-2886513</t>
  </si>
  <si>
    <t>30062978</t>
  </si>
  <si>
    <t>Winkels Techniek Groep B.V.</t>
  </si>
  <si>
    <t>Euregioweg 255</t>
  </si>
  <si>
    <t>7532 SM</t>
  </si>
  <si>
    <t>ENSCHEDE</t>
  </si>
  <si>
    <t>088-4262000</t>
  </si>
  <si>
    <t>08127780</t>
  </si>
  <si>
    <t>Winkels Techniek B.V</t>
  </si>
  <si>
    <t>06055740</t>
  </si>
  <si>
    <t>2 T Vorden B.V.</t>
  </si>
  <si>
    <t>Industrieweg 11</t>
  </si>
  <si>
    <t>7251 JT</t>
  </si>
  <si>
    <t>VORDEN</t>
  </si>
  <si>
    <t>08007547</t>
  </si>
  <si>
    <t>Winkels International and Specials BV</t>
  </si>
  <si>
    <t>08174832</t>
  </si>
  <si>
    <t>Winkels Disselhorst Installatietechniek B.V.</t>
  </si>
  <si>
    <t>Kaagstraat 5</t>
  </si>
  <si>
    <t>8102 GZ</t>
  </si>
  <si>
    <t>RAALTE</t>
  </si>
  <si>
    <t>38016361</t>
  </si>
  <si>
    <t>Bestellijst Harde koelleiding Centercon</t>
  </si>
  <si>
    <t>INKOOP</t>
  </si>
  <si>
    <t>artikelnummer:</t>
  </si>
  <si>
    <t>aantal:</t>
  </si>
  <si>
    <t>omschrijving:</t>
  </si>
  <si>
    <t>vpe</t>
  </si>
  <si>
    <t>bruto</t>
  </si>
  <si>
    <t>netto</t>
  </si>
  <si>
    <t>per strekkende meter</t>
  </si>
  <si>
    <t>Harde koelleiding koper 3/8" (9,53mm)</t>
  </si>
  <si>
    <t>L=5 meter</t>
  </si>
  <si>
    <t>Harde koelleiding koper 1/2" (12,7mm)</t>
  </si>
  <si>
    <t>Harde koelleiding koper 5/8" (15,9mm)</t>
  </si>
  <si>
    <t>Harde koelleiding koper 3/4" (19,05mm)</t>
  </si>
  <si>
    <t>Harde koelleiding koper 7/8" (22,23mm)</t>
  </si>
  <si>
    <t>Harde koelleiding koper 1 1/8" (28,58mm)</t>
  </si>
  <si>
    <t>per stuk</t>
  </si>
  <si>
    <t>FX-2-10/12K Armafix AF leidingdrager Combipack (3/8 en 1/2")</t>
  </si>
  <si>
    <t>32 stuks</t>
  </si>
  <si>
    <t>FX-2-15/18K Armafix AF leidingdrager Combipack (5/8 en 3/4")</t>
  </si>
  <si>
    <t>24 stuks</t>
  </si>
  <si>
    <t>FX-2-22/25K Armafix AF leidingdrager Combipack (7/8")</t>
  </si>
  <si>
    <t xml:space="preserve">FX-2-28/30K Armafix AF leidingdrager Combipack (1 1/8") </t>
  </si>
  <si>
    <t>16 stuks</t>
  </si>
  <si>
    <t>ACE/P13x010/E Armaflex isolatieslang (3/8")</t>
  </si>
  <si>
    <t>rol=35 mtr</t>
  </si>
  <si>
    <t>ACE/P13x012/E Armaflex isolatieslang (1/2")</t>
  </si>
  <si>
    <t>rol=32 mtr</t>
  </si>
  <si>
    <t>ACE/P13x015/E Armaflex isolatieslang (5/8")</t>
  </si>
  <si>
    <t>rol=28 mtr</t>
  </si>
  <si>
    <t>ACE/P13x018/E Armaflex isolatieslang (3/4")</t>
  </si>
  <si>
    <t>rol=27 mtr</t>
  </si>
  <si>
    <t>ACE/P13x022/E Armaflex isolatieslang (7/8")</t>
  </si>
  <si>
    <t>rol=20 mtr</t>
  </si>
  <si>
    <t>ACE/P13x028/E Armaflex isolatieslang (1 1/8")</t>
  </si>
  <si>
    <t>L= 2 mtr</t>
  </si>
  <si>
    <t>Materiaalprijs harde koelleding per strekkende meter</t>
  </si>
  <si>
    <t>isolatie op rol</t>
  </si>
  <si>
    <t>isolatieslang 2m</t>
  </si>
  <si>
    <t xml:space="preserve">Harde koelleiding koper 3/8" </t>
  </si>
  <si>
    <t>Harde koelleiding koper 1/2"</t>
  </si>
  <si>
    <t>Harde koelleiding koper 5/8"</t>
  </si>
  <si>
    <t>Harde koelleiding koper 3/4"</t>
  </si>
  <si>
    <t>Harde koelleiding koper 7/8"</t>
  </si>
  <si>
    <t>Harde koelleiding koper 1 1/8"</t>
  </si>
  <si>
    <t>Leidingbundel 2-pijps hard, gangbare maten:</t>
  </si>
  <si>
    <t>8pk</t>
  </si>
  <si>
    <t>3/8 - 3/4</t>
  </si>
  <si>
    <t>10pk</t>
  </si>
  <si>
    <t>3/8 - 7/8</t>
  </si>
  <si>
    <t>10/12pk</t>
  </si>
  <si>
    <t>1/2 - 7/8</t>
  </si>
  <si>
    <t>12/14/16pk</t>
  </si>
  <si>
    <t>1/2 - 1 1/8</t>
  </si>
  <si>
    <t>18pk</t>
  </si>
  <si>
    <t>5/8 - 1 1/8</t>
  </si>
  <si>
    <t>Leidingbundel 3-pijps hard, gangbare maten:</t>
  </si>
  <si>
    <t>3/8 - 5/8 - 3/4</t>
  </si>
  <si>
    <t>3/8 - 3/4 - 7/8</t>
  </si>
  <si>
    <t>12pk</t>
  </si>
  <si>
    <t>1/2 - 3/4 - 1 1/8</t>
  </si>
  <si>
    <t>14/16pk</t>
  </si>
  <si>
    <t>1/2 - 7/8 - 1 1/8</t>
  </si>
  <si>
    <t>BUSKABEL</t>
  </si>
  <si>
    <t>1 meter per strekkende meter hard + overlengte per aansluiting</t>
  </si>
  <si>
    <t>2 meter (dubbel) per strekkende meter zacht + overlengte per aansluiting</t>
  </si>
  <si>
    <t>MONTAGEMATERIAAL PER BEUGELING</t>
  </si>
  <si>
    <t>Met draadeind</t>
  </si>
  <si>
    <t>2,0m</t>
  </si>
  <si>
    <t>draadeind + anker / plug (1 leiding)</t>
  </si>
  <si>
    <t>draadeinden + flamcorail met glijmoeren + anker / pluggen (2 leidingen)</t>
  </si>
  <si>
    <t>draadeinden + flamcorail met glijmoeren + anker / pluggen (3 leidingen)</t>
  </si>
  <si>
    <t>SOLDEREN</t>
  </si>
  <si>
    <t>5/21/2025</t>
  </si>
  <si>
    <t>THESSCO ZS-5 zilversoldeer 5% 2mm (1kg verpakking)</t>
  </si>
  <si>
    <t>THESSCO ZS-5 zilversoldeer 5% 3mm (1kg verpakking)</t>
  </si>
  <si>
    <t>stikstof</t>
  </si>
  <si>
    <t>gas (MAP)</t>
  </si>
  <si>
    <t>gas (zuurstof + acethyleen)</t>
  </si>
  <si>
    <t>GEREEDSCHAP</t>
  </si>
  <si>
    <t>soldeerset (MAP)</t>
  </si>
  <si>
    <t>soldeerset (gas + zuurstof)</t>
  </si>
  <si>
    <t>Kabelgoot 200x60 en toebehoren TU</t>
  </si>
  <si>
    <t>Technische Unie</t>
  </si>
  <si>
    <t>KABELGOOT 200x60 L=3mtr</t>
  </si>
  <si>
    <t>Legrand VAN GEEL P31+ ST Kabelgoot | 480304</t>
  </si>
  <si>
    <t>per 2st.</t>
  </si>
  <si>
    <t>VERBINDER</t>
  </si>
  <si>
    <t>per set</t>
  </si>
  <si>
    <t>Legrand VAN GEEL P31+ Bev. scheidingsschot kabeldr.syst. | 341060</t>
  </si>
  <si>
    <t>per 50st.</t>
  </si>
  <si>
    <t>DEKSEL 200 L=2mtr</t>
  </si>
  <si>
    <t>Legrand VAN GEEL P31+ Deksel kabeldraagsysteem | 341293</t>
  </si>
  <si>
    <t>p/st</t>
  </si>
  <si>
    <t>BEUGEL</t>
  </si>
  <si>
    <t>Legrand VAN GEEL P31 Ophangbeugel kabeldraagsysteem | 347282</t>
  </si>
  <si>
    <t>VLAKKE BOCHT 90gr</t>
  </si>
  <si>
    <t>Legrand VAN GEEL P31+ Bocht/hoekstuk kabelgoot | 480753</t>
  </si>
  <si>
    <t>DEKSEL TBV VLAKKE BOCHT 90gr</t>
  </si>
  <si>
    <t>Legrand VAN GEEL P31+ Deksel bocht/hoekstuk kabeldr.syst. | 480865</t>
  </si>
  <si>
    <t>Materiaalprijs kabelgoot 200x60 met deksel, per strekkende meter</t>
  </si>
  <si>
    <t>Materiaalprijs kabelgoot met deksel, per strekkende meter</t>
  </si>
  <si>
    <t>1m goot + deksel + 1st. beugel per 2m + 1 set verbindingen per lengte 3m + 1st. Hulpstuk+deksel per 6m</t>
  </si>
  <si>
    <t>Kabelgoot 200x60 met deksel en beugels/2m</t>
  </si>
  <si>
    <t>Verder nog nodig:</t>
  </si>
  <si>
    <t>draadeind + anker / plug (per beugel)</t>
  </si>
  <si>
    <t>PVC condensleiding en toebehoren TU</t>
  </si>
  <si>
    <t>PVC BUIS 40mm</t>
  </si>
  <si>
    <t>Wavin Ultra3 Kunststof buis glad | 101.00.04004</t>
  </si>
  <si>
    <t>Lengte 4m</t>
  </si>
  <si>
    <t>BEUGEL 40mm</t>
  </si>
  <si>
    <t>Walraven BIS KSB1 Tweedelige beugel rond | 3363043</t>
  </si>
  <si>
    <t>LIJMMOF</t>
  </si>
  <si>
    <t>Wavin Wadal Fitting met 2 aansluitingen | 310.00.04000</t>
  </si>
  <si>
    <t>HULPSTUKKEN</t>
  </si>
  <si>
    <t>PVC BOCHT 45gr 40mm</t>
  </si>
  <si>
    <t>Wavin Wadal Fitting met 2 aansluitingen | 310.12.05004</t>
  </si>
  <si>
    <t>PVC BOCHT 90gr 40mm</t>
  </si>
  <si>
    <t>Wavin Wadal Fitting met 2 aansluitingen | 310.12.05009</t>
  </si>
  <si>
    <t>T-STUK STROMEND 40mm</t>
  </si>
  <si>
    <t>Wavin Wadal Fitting met 3 aansluitingen | 310.22.05004</t>
  </si>
  <si>
    <t>Gemiddelde prijs per hulpstuk</t>
  </si>
  <si>
    <t>Materiaalprijs PVC buis D=40mm per strekkende meter</t>
  </si>
  <si>
    <t>Materiaalprijs PVC buis per strekkende meter</t>
  </si>
  <si>
    <t>1m buis + 1st. beugel per 2m + 1st. Mof per 4m + 1st. Hulpstuk per 4m</t>
  </si>
  <si>
    <t>PVC buis rond 40mm</t>
  </si>
  <si>
    <t>Lijm</t>
  </si>
  <si>
    <t>Provincie</t>
  </si>
  <si>
    <t>Gemiddeld tarief per uur</t>
  </si>
  <si>
    <t>Noord-Holland</t>
  </si>
  <si>
    <t>Utrecht</t>
  </si>
  <si>
    <t>Zuid-Holland</t>
  </si>
  <si>
    <t>Noord-Brabant</t>
  </si>
  <si>
    <t>Gelderland</t>
  </si>
  <si>
    <t>Overijssel</t>
  </si>
  <si>
    <t>Friesland</t>
  </si>
  <si>
    <t>Groningen</t>
  </si>
  <si>
    <t>Limburg</t>
  </si>
  <si>
    <t>Drenthe</t>
  </si>
  <si>
    <t>Flevoland</t>
  </si>
  <si>
    <t>Zeeland</t>
  </si>
  <si>
    <t>Debiteur</t>
  </si>
  <si>
    <t>Bonus</t>
  </si>
  <si>
    <t>Unica Groep</t>
  </si>
  <si>
    <t xml:space="preserve">BAM </t>
  </si>
  <si>
    <t xml:space="preserve">Kuijpers Installaties
</t>
  </si>
  <si>
    <t>A. de Jong Inst.Techn.</t>
  </si>
  <si>
    <t xml:space="preserve">Homij </t>
  </si>
  <si>
    <t>Croonwolter&amp;dros</t>
  </si>
  <si>
    <t>DGC groep</t>
  </si>
  <si>
    <t>Roodenburg</t>
  </si>
  <si>
    <t>DMG, Keukens, 
Badkamers, Sanitair</t>
  </si>
  <si>
    <t xml:space="preserve">Naaykens </t>
  </si>
  <si>
    <t>Kropman</t>
  </si>
  <si>
    <t>Soprowa Elsaker BV</t>
  </si>
  <si>
    <t>Van Dorp Groep en 
Van Galen</t>
  </si>
  <si>
    <t>Bink Installatietechniek 
(voorheen KIN)</t>
  </si>
  <si>
    <t>ULC Groep B.V.</t>
  </si>
  <si>
    <t>Equans Nederland B.V.</t>
  </si>
  <si>
    <t>Soort installaties</t>
  </si>
  <si>
    <t>Soort binnendeel</t>
  </si>
  <si>
    <t>Moeilijkheid</t>
  </si>
  <si>
    <t>VRF</t>
  </si>
  <si>
    <t>Kanaalunit</t>
  </si>
  <si>
    <t>Makkelijk</t>
  </si>
  <si>
    <t>Multi split</t>
  </si>
  <si>
    <t>Plafondonderbouw</t>
  </si>
  <si>
    <t>Moeilijk</t>
  </si>
  <si>
    <t>Wandunit</t>
  </si>
  <si>
    <t>Vloerunit</t>
  </si>
  <si>
    <t>PVC buis en toebehoren t.b.v. afscherming leidingen dak - TU</t>
  </si>
  <si>
    <t>PVC BUIS D=125mm L=5mtr</t>
  </si>
  <si>
    <t>Wavin Ultra3 Kunststof buis glad | 101.00.12005</t>
  </si>
  <si>
    <t>per st.</t>
  </si>
  <si>
    <t>STEEKMOF (PP)</t>
  </si>
  <si>
    <t>Wavin Wafix SN4 Fitting met 2 aansluitingen | 111.00.12000</t>
  </si>
  <si>
    <t>BOCHT 45gr MOF/MOF (PP)</t>
  </si>
  <si>
    <t>Wavin Wafix SN4 Fitting met 2 aansluitingen | 111.12.12004</t>
  </si>
  <si>
    <t>BEUGEL (Staal, gecoat BIS UltraProtect 1000)</t>
  </si>
  <si>
    <t>Walraven BIS UltraProtect 1000 Bifix 5000 G2 Tweedelige beugel rond | 3188125</t>
  </si>
  <si>
    <t>per 25 st.</t>
  </si>
  <si>
    <t>Huyg</t>
  </si>
  <si>
    <t>RVS BEUGEL</t>
  </si>
  <si>
    <t xml:space="preserve">RVS beugel Ø125  </t>
  </si>
  <si>
    <t>n.b.</t>
  </si>
  <si>
    <t>Materiaalprijs PVC buis 125mm, per strekkende meter</t>
  </si>
  <si>
    <t>MateriaalprijsPVC buis 125mm, per strekkende meter</t>
  </si>
  <si>
    <t>1m buis + 1st. beugel per 2m + 1 set verbindingen per lengte 5m + 1st. Hulpstukl per 5m</t>
  </si>
  <si>
    <t>PVC BUIS 125mm met beugel per 2m en mof+hulpstuk per 5m.</t>
  </si>
  <si>
    <t>PVC DAKLEIDING</t>
  </si>
  <si>
    <t>Verplicht invulveld</t>
  </si>
  <si>
    <t>BALKEN/VOETEN/MUURSTEUN</t>
  </si>
  <si>
    <t>DAKDOORVOERING</t>
  </si>
  <si>
    <t>TOEBEHOREN LUCHTVERDELING</t>
  </si>
  <si>
    <t>SPUITEN GRILLE</t>
  </si>
  <si>
    <t>Verblijfskosten/overnachting per persoon</t>
  </si>
  <si>
    <t>AANTAL OVERNACHTINGEN</t>
  </si>
  <si>
    <t>PER NACHT</t>
  </si>
  <si>
    <t>HUUR CILINDER KOUDE MIDDEL (Gasco Huurdagen Reclaimcyl KG groot)</t>
  </si>
  <si>
    <t>Tot 7,1 kW (split)</t>
  </si>
  <si>
    <t>Tot 3,5 kW (split)</t>
  </si>
  <si>
    <t>Tot 5,6kW (split / VRF)</t>
  </si>
  <si>
    <t>Vanaf 6,0kW (split / VRF)</t>
  </si>
  <si>
    <t>Enkel VRF buitendeel</t>
  </si>
  <si>
    <t>Voor 2st. VRF buitendelen</t>
  </si>
  <si>
    <t xml:space="preserve">Enkel VRF buitendeel breed </t>
  </si>
  <si>
    <t>Voor 2st. VRF buitendeel breed</t>
  </si>
  <si>
    <t>BN0440005900000045</t>
  </si>
  <si>
    <t>BN0440007018000200</t>
  </si>
  <si>
    <t>BN0440005063100203</t>
  </si>
  <si>
    <t>BN0440008006590590</t>
  </si>
  <si>
    <t>Balkklem C-model M10 (max.20 mm) (50 st)</t>
  </si>
  <si>
    <t>Spaanpl. Schroef 5,0x30 platk.v. (200st)</t>
  </si>
  <si>
    <t>Houtdraadbout DIN 571 verz. 8x60 (200st)</t>
  </si>
  <si>
    <t>Superplug Duopower 10x50 (50 st.)</t>
  </si>
  <si>
    <t>Zeskantmoer Din 934 M 8 verzinkt (200st)</t>
  </si>
  <si>
    <t>HM-schuifmoer M8 trad. verzinkt (50 st.)</t>
  </si>
  <si>
    <t>draadeind 8mm 2meter (25 stuks)</t>
  </si>
  <si>
    <t>Montagerail 30x15x2.0 L=2meter (10 st.)</t>
  </si>
  <si>
    <t>BN0440006300000393</t>
  </si>
  <si>
    <t>Airfit recht aansluitstuk 32x8,5-26,5mm</t>
  </si>
  <si>
    <t>BN0440006300000394</t>
  </si>
  <si>
    <t>KLEM ADEREINDH 2,5G492N ZK500</t>
  </si>
  <si>
    <t>Inoac CD-75W Leidinggoot wit</t>
  </si>
  <si>
    <t>Inoac Muur afdekkap wit NW-75W</t>
  </si>
  <si>
    <t>Inoac Platte lange bocht 90° NE-75W</t>
  </si>
  <si>
    <t>Inoac Leidinggoot CD-75</t>
  </si>
  <si>
    <t>Inoac Leidinggoot CD-100</t>
  </si>
  <si>
    <t>Inoac Muur afdekkap NW-75</t>
  </si>
  <si>
    <t>Inoac Muur afdekkap NW-100</t>
  </si>
  <si>
    <t>Inoac Platte lange bocht 90° NE-75</t>
  </si>
  <si>
    <t>Inoac Platte lange bocht 90° NE-100</t>
  </si>
  <si>
    <t>Big foot balk RF1000 1000x160x95</t>
  </si>
  <si>
    <t>Aircopipe PB2325 1/4 x 3/8 zwart</t>
  </si>
  <si>
    <t>Sontheimer werkschakelaar 4P/25A 230/400</t>
  </si>
  <si>
    <t>Aircopipe PB3525 3/8 x 5/8 zwart</t>
  </si>
  <si>
    <t>Sontheimer werkschakelaar 4P/63A 400V</t>
  </si>
  <si>
    <t>Aircopipe P2525 1/4 x 5/8</t>
  </si>
  <si>
    <t>Aircopipe PB2425 1/4 x 1/2 zwart</t>
  </si>
  <si>
    <t>Sontheimer werkschakelaar 3P/16A 230V</t>
  </si>
  <si>
    <t>BN0440001401600595</t>
  </si>
  <si>
    <t>BN0440001450600000</t>
  </si>
  <si>
    <t>BN0440001806600595</t>
  </si>
  <si>
    <t>BN0440001452600000</t>
  </si>
  <si>
    <t>MONTAGE TOEBEHOREN LUCHTVERDELING</t>
  </si>
  <si>
    <t>Stuurstroomkabel YSLY-JZ 5x1,5</t>
  </si>
  <si>
    <t>APPARATUUR</t>
  </si>
  <si>
    <t>DAG</t>
  </si>
  <si>
    <t>Trox</t>
  </si>
  <si>
    <t>Schilt lijn</t>
  </si>
  <si>
    <t>LOODGIETER/CV</t>
  </si>
  <si>
    <t>SLOOPWERKZAAMHEDEN</t>
  </si>
  <si>
    <t>PROVISIE</t>
  </si>
  <si>
    <t>Provisie</t>
  </si>
  <si>
    <t>Projectmanager</t>
  </si>
  <si>
    <t>Projectleider</t>
  </si>
  <si>
    <t>Werkvoorbereider</t>
  </si>
  <si>
    <t>Servicemonteur</t>
  </si>
  <si>
    <t>Hoofdmonteur</t>
  </si>
  <si>
    <t>Hulpmonteur</t>
  </si>
  <si>
    <t>WEEK</t>
  </si>
  <si>
    <t>Contingencies (reserves)</t>
  </si>
  <si>
    <t>Contingencies (onderhandelingsruimte)</t>
  </si>
  <si>
    <t>Verplicht veld</t>
  </si>
  <si>
    <t>Leidingwerk 2-pijps hard 8pk  (22,4kW)</t>
  </si>
  <si>
    <t>Leidingwerk 2-pijps hard 10pk (28,0kW)</t>
  </si>
  <si>
    <t>Leidingwerk 2-pijps hard 10/12pk (28,0 / 33,5kW)</t>
  </si>
  <si>
    <t>Leidingwerk 3-pijps hard 8pk  (22,4kW)</t>
  </si>
  <si>
    <t>Leidingwerk 3-pijps hard 10pk  (28,0kW)</t>
  </si>
  <si>
    <t>Leidingwerk 3-pijps hard 12pk (33,5kW)</t>
  </si>
  <si>
    <t>Leidingwerk 3-pijps hard 14/16pk (40,0 / 45,0kW)</t>
  </si>
  <si>
    <t>Leidingwerk 2-pijps hard 12/14/16pk (33,5 / 40,0 / 45,0kW)</t>
  </si>
  <si>
    <t>Leidingwerk 2-pijps hard 18pk (50,0kW)</t>
  </si>
  <si>
    <t>Tarieven</t>
  </si>
  <si>
    <t xml:space="preserve"> SALES PRICE INCL. PROVISION</t>
  </si>
  <si>
    <t>Aircoexit Dakdoorvoer aluminium SINGLE 120mm</t>
  </si>
  <si>
    <t>Aircoexit Dakdoorvoer aluminium DUO 120mm</t>
  </si>
  <si>
    <t>Aircoexit Dakdoorvoer aluminium VRF 150x200mm</t>
  </si>
  <si>
    <t>Sendz. dichte regelklep SDSD Ø 200</t>
  </si>
  <si>
    <t>Sonodec 25 D=203 mm</t>
  </si>
  <si>
    <t>Airco box afm. 590x590 aansl. 200</t>
  </si>
  <si>
    <t>Rooster SQL-PM 600 595x595 RAL 9010</t>
  </si>
  <si>
    <t>Frontrooster FD-Q-Z 600 plaat 595</t>
  </si>
  <si>
    <t>Plenum -Q-Z-H 600 (AK004-ZL)</t>
  </si>
  <si>
    <t>Plafondrooster DLQL-T-A-V 600 pl. 593</t>
  </si>
  <si>
    <t>Plenum -Q-A-H 600 (AK004-AL)</t>
  </si>
  <si>
    <t>Naam</t>
  </si>
  <si>
    <t>John van de Weetering</t>
  </si>
  <si>
    <t>Robert Hartman</t>
  </si>
  <si>
    <t>Peter van Maurik</t>
  </si>
  <si>
    <t>Nick Vervoorn</t>
  </si>
  <si>
    <t>Ricardo Rozendaal</t>
  </si>
  <si>
    <t>BUGM</t>
  </si>
  <si>
    <t>VOORSTEL</t>
  </si>
  <si>
    <t>DEFINITIEF</t>
  </si>
  <si>
    <t>KOSTTARIEF</t>
  </si>
  <si>
    <t>Voorstel</t>
  </si>
  <si>
    <t>AFPOMPEN OUDE UNITS</t>
  </si>
  <si>
    <t>AANSLUITEN REGELING VENTILATOR</t>
  </si>
  <si>
    <t>KOPPELEN BEDIENING</t>
  </si>
  <si>
    <t>SLOOPWERK</t>
  </si>
  <si>
    <t>AFSLUITEN LUCHTKANAAL</t>
  </si>
  <si>
    <t>Zeskantmoer H = 0,8D DIN 934 A2 M 8</t>
  </si>
  <si>
    <t>BN0440006300000395</t>
  </si>
  <si>
    <t>SLANGKLEM 26-38MM/9MM</t>
  </si>
  <si>
    <t>LN</t>
  </si>
  <si>
    <t>Trillingsdemper M12 30x40 VRF</t>
  </si>
  <si>
    <t>Aantal</t>
  </si>
  <si>
    <t>Omschrijving</t>
  </si>
  <si>
    <t>Artikelnummer</t>
  </si>
  <si>
    <t>Eenheid</t>
  </si>
  <si>
    <t>Artikel van ST</t>
  </si>
  <si>
    <t>Projectbestelling</t>
  </si>
  <si>
    <t>Koelleiding 3/8 x 3/4 gecombineerd</t>
  </si>
  <si>
    <t>Project Heading</t>
  </si>
  <si>
    <t>Budget</t>
  </si>
  <si>
    <t>h</t>
  </si>
  <si>
    <t>Transferred quotation costs</t>
  </si>
  <si>
    <t>€</t>
  </si>
  <si>
    <t>Material</t>
  </si>
  <si>
    <t>External Site Subcontracting</t>
  </si>
  <si>
    <t>Contingency</t>
  </si>
  <si>
    <t>Provision for warranty</t>
  </si>
  <si>
    <t>External invoicing of Invoicing within Vinci Energies</t>
  </si>
  <si>
    <t>Comments</t>
  </si>
  <si>
    <t>Wanneer de klant extrern (buiten de groep) is, dan External Invoicing. Wanneer de klant een zusje is, dan Invoicing within Vinci Energies.</t>
  </si>
  <si>
    <t>Travel Expenses</t>
  </si>
  <si>
    <t>VRF BINNENUNITS (8 UUR PST)</t>
  </si>
  <si>
    <t>VRF BUITENUNITS (1 = 12 UUR PST, &gt;1 = 8 UUR PST)</t>
  </si>
  <si>
    <t>LEIDINGWERK  2-PIJPS ZACHT (0,25 UUR PER M)</t>
  </si>
  <si>
    <t>LEIDINGWERK  3-PIJPS HARD (0,33 UUR PER M)</t>
  </si>
  <si>
    <t>LEIDINGWERK  2-PIJPS HARD (0,25 UUR PER M)</t>
  </si>
  <si>
    <t>PAC - WARMTEPOMP/OVERIG BINNENUNITS (8 UUR PST)</t>
  </si>
  <si>
    <t>RAC - SINGLE/MULTI-SPLIT BUITENUNITS (2 UUR PST)</t>
  </si>
  <si>
    <t>RAC - SINGLE/MULTI-SPLIT BINNENUNITS (3 UUR PST)</t>
  </si>
  <si>
    <t>PAC - WARMTEPOMP/OVERIG BUITENUNITS (8 UUR PST)</t>
  </si>
  <si>
    <t>PROJECTNAAM :</t>
  </si>
  <si>
    <t>SOORT INSTALLATIE 1 :</t>
  </si>
  <si>
    <t>AANTAL BUITENDELEN 1 :</t>
  </si>
  <si>
    <t>AANTAL BINNENDELEN 1 :</t>
  </si>
  <si>
    <t>SOORT INSTALLATIE 2 :</t>
  </si>
  <si>
    <t>AANTAL BUITENDELEN 2 :</t>
  </si>
  <si>
    <t>AANTAL BINNENDELEN 2 :</t>
  </si>
  <si>
    <t>SOORT INSTALLATIE 3 :</t>
  </si>
  <si>
    <t>AANTAL BUITENDELEN 3 :</t>
  </si>
  <si>
    <t>AANTAL BINNENDELEN 3 :</t>
  </si>
  <si>
    <t>SOORT INSTALLATIE 4 :</t>
  </si>
  <si>
    <t>AANTAL BUITENDELEN 4 :</t>
  </si>
  <si>
    <t>AANTAL BINNENDELEN 4 :</t>
  </si>
  <si>
    <t>RAC</t>
  </si>
  <si>
    <t>PAC</t>
  </si>
  <si>
    <t>INSTALLATIES</t>
  </si>
  <si>
    <t>VRF IBS (8 UUR PER BUITENUNIT)</t>
  </si>
  <si>
    <t>PAC IBS</t>
  </si>
  <si>
    <t>Bosman Bedrijven</t>
  </si>
  <si>
    <t>Van der Linden</t>
  </si>
  <si>
    <t>GF Deko</t>
  </si>
  <si>
    <t>Geen provisie</t>
  </si>
  <si>
    <t>Projectnaam:</t>
  </si>
  <si>
    <t>Logboek versies</t>
  </si>
  <si>
    <t>Versie 6: aanpassing fullcost tarieven.</t>
  </si>
  <si>
    <t>Check</t>
  </si>
  <si>
    <t>Versie 7: Tabje "Budget voor admin" toegevoegd. En YIMM geupdated.</t>
  </si>
  <si>
    <t>Voedingskabel/1000 Dca 5G 2,5mm2 grijs</t>
  </si>
  <si>
    <t>BN0440006300000396</t>
  </si>
  <si>
    <t>PIPE HALO SOK 19MM GR D S50</t>
  </si>
  <si>
    <t>BN0440006300000397</t>
  </si>
  <si>
    <t>FLEX-PUR NBS KELFORT DSR NBS PISTOOL 750</t>
  </si>
  <si>
    <t>Resultaat in Codex moet matchen met dit bedrag.</t>
  </si>
  <si>
    <t>Versie 8: paklijst aangepast naar materiaallijst.</t>
  </si>
  <si>
    <t>Q-nummer:</t>
  </si>
  <si>
    <t>Klantnaam:</t>
  </si>
  <si>
    <t>P-nummer:</t>
  </si>
  <si>
    <t>Materiaallijst Schilt Airconditioning</t>
  </si>
  <si>
    <t/>
  </si>
  <si>
    <t>BN0440006302010050</t>
  </si>
  <si>
    <t>O15</t>
  </si>
  <si>
    <t>19 POMPEN</t>
  </si>
  <si>
    <t>20 POMPEN</t>
  </si>
  <si>
    <t>21 POMPEN</t>
  </si>
  <si>
    <t>24 POMPEN</t>
  </si>
  <si>
    <t>25 POMPEN</t>
  </si>
  <si>
    <t>27 POMPEN</t>
  </si>
  <si>
    <t>28 POMPEN</t>
  </si>
  <si>
    <t>A1</t>
  </si>
  <si>
    <t>A10</t>
  </si>
  <si>
    <t>BN0440006302010051</t>
  </si>
  <si>
    <t>Inoac verbindingssok NS100W</t>
  </si>
  <si>
    <t>A11</t>
  </si>
  <si>
    <t>BN0440006302010052</t>
  </si>
  <si>
    <t>Inoac muur afdekkap NW100W</t>
  </si>
  <si>
    <t>A12</t>
  </si>
  <si>
    <t>BN0440006302010053</t>
  </si>
  <si>
    <t>Inoac platte bocht 90gr. NE100W</t>
  </si>
  <si>
    <t>A13</t>
  </si>
  <si>
    <t>BN0440006302010055</t>
  </si>
  <si>
    <t>Inoac stijgende lange bocht NC100W</t>
  </si>
  <si>
    <t>A14</t>
  </si>
  <si>
    <t>BN044000630201054</t>
  </si>
  <si>
    <t>Inoac plafond/wand eindstuk NA100W</t>
  </si>
  <si>
    <t>A15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</si>
  <si>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</si>
  <si>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</si>
  <si>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</si>
  <si>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</si>
  <si>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</si>
  <si>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</si>
  <si>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</si>
  <si>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</si>
  <si>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</si>
  <si>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B10</t>
  </si>
  <si>
    <t>B11</t>
  </si>
  <si>
    <t>B12</t>
  </si>
  <si>
    <t>B13</t>
  </si>
  <si>
    <t>B14</t>
  </si>
  <si>
    <t>B15</t>
  </si>
  <si>
    <t>B2</t>
  </si>
  <si>
    <t>B3</t>
  </si>
  <si>
    <t>B4</t>
  </si>
  <si>
    <t>B5</t>
  </si>
  <si>
    <t>B6</t>
  </si>
  <si>
    <t>B7</t>
  </si>
  <si>
    <t>B8</t>
  </si>
  <si>
    <t>B9</t>
  </si>
  <si>
    <t>BK 10</t>
  </si>
  <si>
    <t>BK 13</t>
  </si>
  <si>
    <t>BK 14</t>
  </si>
  <si>
    <t>BK 15</t>
  </si>
  <si>
    <t>BK 16</t>
  </si>
  <si>
    <t>BK 4</t>
  </si>
  <si>
    <t>BK 5</t>
  </si>
  <si>
    <t>BK 6</t>
  </si>
  <si>
    <t>BK 7</t>
  </si>
  <si>
    <t>BK 8</t>
  </si>
  <si>
    <t>BK 9</t>
  </si>
  <si>
    <t>C1</t>
  </si>
  <si>
    <t>C10</t>
  </si>
  <si>
    <t>C11</t>
  </si>
  <si>
    <t>C12</t>
  </si>
  <si>
    <t>C6</t>
  </si>
  <si>
    <t>C8</t>
  </si>
  <si>
    <t>D1</t>
  </si>
  <si>
    <t>D10</t>
  </si>
  <si>
    <t>D11</t>
  </si>
  <si>
    <t>D12</t>
  </si>
  <si>
    <t>D13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</si>
  <si>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</si>
  <si>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</si>
  <si>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</si>
  <si>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</si>
  <si>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</si>
  <si>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</si>
  <si>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</si>
  <si>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</si>
  <si>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</si>
  <si>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E11</t>
  </si>
  <si>
    <t>E12</t>
  </si>
  <si>
    <t>E13</t>
  </si>
  <si>
    <t>E14</t>
  </si>
  <si>
    <t>E15</t>
  </si>
  <si>
    <t>E16</t>
  </si>
  <si>
    <t>E17</t>
  </si>
  <si>
    <t>E18</t>
  </si>
  <si>
    <t>E2</t>
  </si>
  <si>
    <t>E3</t>
  </si>
  <si>
    <t>E4</t>
  </si>
  <si>
    <t>E5</t>
  </si>
  <si>
    <t>E6</t>
  </si>
  <si>
    <t>E7</t>
  </si>
  <si>
    <t>E8</t>
  </si>
  <si>
    <t>F2</t>
  </si>
  <si>
    <t>F6</t>
  </si>
  <si>
    <t>F7</t>
  </si>
  <si>
    <t>F9</t>
  </si>
  <si>
    <t>G10</t>
  </si>
  <si>
    <t>G11</t>
  </si>
  <si>
    <t>G12</t>
  </si>
  <si>
    <t>G13</t>
  </si>
  <si>
    <t>G15</t>
  </si>
  <si>
    <t>G16</t>
  </si>
  <si>
    <t>G17</t>
  </si>
  <si>
    <t>G18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</si>
  <si>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</si>
  <si>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</si>
  <si>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</si>
  <si>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</si>
  <si>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</si>
  <si>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</si>
  <si>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</si>
  <si>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</si>
  <si>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</si>
  <si>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</si>
  <si>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</si>
  <si>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G31</t>
  </si>
  <si>
    <t>G32</t>
  </si>
  <si>
    <t>G35</t>
  </si>
  <si>
    <t>G36</t>
  </si>
  <si>
    <t>G37</t>
  </si>
  <si>
    <t>G38</t>
  </si>
  <si>
    <t>G39</t>
  </si>
  <si>
    <t>G40</t>
  </si>
  <si>
    <t>G41</t>
  </si>
  <si>
    <t>G42</t>
  </si>
  <si>
    <t>G43</t>
  </si>
  <si>
    <t>G44</t>
  </si>
  <si>
    <t>G45</t>
  </si>
  <si>
    <t>G46</t>
  </si>
  <si>
    <t>G47</t>
  </si>
  <si>
    <t>G6</t>
  </si>
  <si>
    <t>G7</t>
  </si>
  <si>
    <t>G8</t>
  </si>
  <si>
    <t>G9</t>
  </si>
  <si>
    <t>H13</t>
  </si>
  <si>
    <t>H14</t>
  </si>
  <si>
    <t>H15</t>
  </si>
  <si>
    <t>H16</t>
  </si>
  <si>
    <t>H17</t>
  </si>
  <si>
    <t>H2</t>
  </si>
  <si>
    <t>H27</t>
  </si>
  <si>
    <t>H28</t>
  </si>
  <si>
    <t>H29</t>
  </si>
  <si>
    <t>H3</t>
  </si>
  <si>
    <t>H30</t>
  </si>
  <si>
    <t>H31</t>
  </si>
  <si>
    <t>H32</t>
  </si>
  <si>
    <t>H33</t>
  </si>
  <si>
    <t>H38</t>
  </si>
  <si>
    <t>H39</t>
  </si>
  <si>
    <t>H4</t>
  </si>
  <si>
    <t>H40</t>
  </si>
  <si>
    <t>H41</t>
  </si>
  <si>
    <t>H42</t>
  </si>
  <si>
    <t>H43</t>
  </si>
  <si>
    <t>H44</t>
  </si>
  <si>
    <t>H45</t>
  </si>
  <si>
    <t>H6</t>
  </si>
  <si>
    <t>H7</t>
  </si>
  <si>
    <t>H8</t>
  </si>
  <si>
    <t>H9</t>
  </si>
  <si>
    <t>I17</t>
  </si>
  <si>
    <t>I21</t>
  </si>
  <si>
    <t>I23</t>
  </si>
  <si>
    <t>I26</t>
  </si>
  <si>
    <t>I27</t>
  </si>
  <si>
    <t>I28</t>
  </si>
  <si>
    <t>I29</t>
  </si>
  <si>
    <t>I29A</t>
  </si>
  <si>
    <t>I29B</t>
  </si>
  <si>
    <t>I32</t>
  </si>
  <si>
    <t>I33</t>
  </si>
  <si>
    <t>I34</t>
  </si>
  <si>
    <t>I35</t>
  </si>
  <si>
    <t>I36</t>
  </si>
  <si>
    <t>I37</t>
  </si>
  <si>
    <t>I4</t>
  </si>
  <si>
    <t>I5</t>
  </si>
  <si>
    <t>J1</t>
  </si>
  <si>
    <t>J10</t>
  </si>
  <si>
    <t>J11</t>
  </si>
  <si>
    <t>J12</t>
  </si>
  <si>
    <t>J13</t>
  </si>
  <si>
    <t>J14</t>
  </si>
  <si>
    <t>J15</t>
  </si>
  <si>
    <t>J2</t>
  </si>
  <si>
    <t>J20</t>
  </si>
  <si>
    <t>J21</t>
  </si>
  <si>
    <t>J23</t>
  </si>
  <si>
    <t>J3</t>
  </si>
  <si>
    <t>J5</t>
  </si>
  <si>
    <t>J6</t>
  </si>
  <si>
    <t>J7</t>
  </si>
  <si>
    <t>J9</t>
  </si>
  <si>
    <t>K1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</si>
  <si>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</si>
  <si>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</si>
  <si>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</si>
  <si>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</si>
  <si>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</si>
  <si>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</si>
  <si>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</si>
  <si>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</si>
  <si>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</si>
  <si>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</si>
  <si>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</t>
  </si>
  <si>
    <t>K3</t>
  </si>
  <si>
    <t>K4</t>
  </si>
  <si>
    <t>K5</t>
  </si>
  <si>
    <t>K6</t>
  </si>
  <si>
    <t>K7</t>
  </si>
  <si>
    <t>K8</t>
  </si>
  <si>
    <t>K8A</t>
  </si>
  <si>
    <t>K9</t>
  </si>
  <si>
    <t>KAR 1</t>
  </si>
  <si>
    <t>KAR 2</t>
  </si>
  <si>
    <t>KAR 3</t>
  </si>
  <si>
    <t>KAR 5</t>
  </si>
  <si>
    <t>KAR 6</t>
  </si>
  <si>
    <t>L1</t>
  </si>
  <si>
    <t>L2</t>
  </si>
  <si>
    <t>L3A</t>
  </si>
  <si>
    <t>L3B</t>
  </si>
  <si>
    <t>L4</t>
  </si>
  <si>
    <t>L6</t>
  </si>
  <si>
    <t>L7</t>
  </si>
  <si>
    <t>N6</t>
  </si>
  <si>
    <t>O12</t>
  </si>
  <si>
    <t>O13</t>
  </si>
  <si>
    <t>O2</t>
  </si>
  <si>
    <t>O3</t>
  </si>
  <si>
    <t>O4</t>
  </si>
  <si>
    <t>O5</t>
  </si>
  <si>
    <t>O6</t>
  </si>
  <si>
    <t>O9</t>
  </si>
  <si>
    <t>Q1</t>
  </si>
  <si>
    <t>Q10</t>
  </si>
  <si>
    <t>Q11</t>
  </si>
  <si>
    <t>Q12</t>
  </si>
  <si>
    <t>Q3</t>
  </si>
  <si>
    <t>Q4</t>
  </si>
  <si>
    <t>Q4A</t>
  </si>
  <si>
    <t>Q5</t>
  </si>
  <si>
    <t>Q7</t>
  </si>
  <si>
    <t>Q9</t>
  </si>
  <si>
    <t>R1</t>
  </si>
  <si>
    <t>R11</t>
  </si>
  <si>
    <t>R12</t>
  </si>
  <si>
    <t>R3</t>
  </si>
  <si>
    <t>R5</t>
  </si>
  <si>
    <t>R6</t>
  </si>
  <si>
    <t>R7</t>
  </si>
  <si>
    <t>R8</t>
  </si>
  <si>
    <t>R9</t>
  </si>
  <si>
    <t>S1</t>
  </si>
  <si>
    <t>S12</t>
  </si>
  <si>
    <t>S13</t>
  </si>
  <si>
    <t>S16</t>
  </si>
  <si>
    <t>S2</t>
  </si>
  <si>
    <t>S2A</t>
  </si>
  <si>
    <t>S3</t>
  </si>
  <si>
    <t>S4</t>
  </si>
  <si>
    <t>S5</t>
  </si>
  <si>
    <t>S6</t>
  </si>
  <si>
    <t>S7</t>
  </si>
  <si>
    <t>S8</t>
  </si>
  <si>
    <t>S9</t>
  </si>
  <si>
    <t>T1</t>
  </si>
  <si>
    <t>T10</t>
  </si>
  <si>
    <t>T11</t>
  </si>
  <si>
    <t>T12</t>
  </si>
  <si>
    <t>T18</t>
  </si>
  <si>
    <t>T19</t>
  </si>
  <si>
    <t>T2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</si>
  <si>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</si>
  <si>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</si>
  <si>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</si>
  <si>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</si>
  <si>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</si>
  <si>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</si>
  <si>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</si>
  <si>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</si>
  <si>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</si>
  <si>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T3</t>
  </si>
  <si>
    <t>T4</t>
  </si>
  <si>
    <t>T5</t>
  </si>
  <si>
    <t>T6</t>
  </si>
  <si>
    <t>T7</t>
  </si>
  <si>
    <t>T8</t>
  </si>
  <si>
    <t>T9</t>
  </si>
  <si>
    <t>U1</t>
  </si>
  <si>
    <t>U11</t>
  </si>
  <si>
    <t>U12</t>
  </si>
  <si>
    <t>U12A</t>
  </si>
  <si>
    <t>U13</t>
  </si>
  <si>
    <t>U14</t>
  </si>
  <si>
    <t>U15</t>
  </si>
  <si>
    <t>U16</t>
  </si>
  <si>
    <t>U17</t>
  </si>
  <si>
    <t>U18</t>
  </si>
  <si>
    <t>U19</t>
  </si>
  <si>
    <t>U2</t>
  </si>
  <si>
    <t>U20</t>
  </si>
  <si>
    <t>U21</t>
  </si>
  <si>
    <t>U22A</t>
  </si>
  <si>
    <t>U22B</t>
  </si>
  <si>
    <t>U23A</t>
  </si>
  <si>
    <t>U23B</t>
  </si>
  <si>
    <t>U24</t>
  </si>
  <si>
    <t>U25</t>
  </si>
  <si>
    <t>U28A</t>
  </si>
  <si>
    <t>U28B</t>
  </si>
  <si>
    <t>U29A</t>
  </si>
  <si>
    <t>U29B</t>
  </si>
  <si>
    <t>U3</t>
  </si>
  <si>
    <t>U4</t>
  </si>
  <si>
    <t>U5</t>
  </si>
  <si>
    <t>U6</t>
  </si>
  <si>
    <t>U7</t>
  </si>
  <si>
    <t>U8</t>
  </si>
  <si>
    <t>V1</t>
  </si>
  <si>
    <t>V10</t>
  </si>
  <si>
    <t>V11</t>
  </si>
  <si>
    <t>V12</t>
  </si>
  <si>
    <t>V13</t>
  </si>
  <si>
    <t>V14</t>
  </si>
  <si>
    <t>V15</t>
  </si>
  <si>
    <t>V16</t>
  </si>
  <si>
    <t>V17A</t>
  </si>
  <si>
    <t>V17B</t>
  </si>
  <si>
    <t>V18</t>
  </si>
  <si>
    <t>V19</t>
  </si>
  <si>
    <t>V2A</t>
  </si>
  <si>
    <t>V2B</t>
  </si>
  <si>
    <t>V3</t>
  </si>
  <si>
    <t>V4</t>
  </si>
  <si>
    <t>V5</t>
  </si>
  <si>
    <t>V6</t>
  </si>
  <si>
    <t>V7</t>
  </si>
  <si>
    <t>V8</t>
  </si>
  <si>
    <t>V9</t>
  </si>
  <si>
    <t>W1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</si>
  <si>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</si>
  <si>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</si>
  <si>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</si>
  <si>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</si>
  <si>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</si>
  <si>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</si>
  <si>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</si>
  <si>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</si>
  <si>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</si>
  <si>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</si>
  <si>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</si>
  <si>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</si>
  <si>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</si>
  <si>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</si>
  <si>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</si>
  <si>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</si>
  <si>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</si>
  <si>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W28</t>
  </si>
  <si>
    <t>W29</t>
  </si>
  <si>
    <t>W3</t>
  </si>
  <si>
    <t>W30</t>
  </si>
  <si>
    <t>W31</t>
  </si>
  <si>
    <t>W32</t>
  </si>
  <si>
    <t>W33</t>
  </si>
  <si>
    <t>W34</t>
  </si>
  <si>
    <t>W35A</t>
  </si>
  <si>
    <t>W35B</t>
  </si>
  <si>
    <t>W36</t>
  </si>
  <si>
    <t>W37</t>
  </si>
  <si>
    <t>W38</t>
  </si>
  <si>
    <t>W39</t>
  </si>
  <si>
    <t>W40</t>
  </si>
  <si>
    <t>W41</t>
  </si>
  <si>
    <t>W5</t>
  </si>
  <si>
    <t>W6</t>
  </si>
  <si>
    <t>W7</t>
  </si>
  <si>
    <t>W8</t>
  </si>
  <si>
    <t>W9</t>
  </si>
  <si>
    <t>X1</t>
  </si>
  <si>
    <t>X11</t>
  </si>
  <si>
    <t>X12</t>
  </si>
  <si>
    <t>X13</t>
  </si>
  <si>
    <t>X14</t>
  </si>
  <si>
    <t>X15</t>
  </si>
  <si>
    <t>X17</t>
  </si>
  <si>
    <t>X18</t>
  </si>
  <si>
    <t>X19</t>
  </si>
  <si>
    <t>X2</t>
  </si>
  <si>
    <t>X20A</t>
  </si>
  <si>
    <t>X20B</t>
  </si>
  <si>
    <t>X21</t>
  </si>
  <si>
    <t>X22</t>
  </si>
  <si>
    <t>X23</t>
  </si>
  <si>
    <t>X24</t>
  </si>
  <si>
    <t>X25</t>
  </si>
  <si>
    <t>X26</t>
  </si>
  <si>
    <t>X27</t>
  </si>
  <si>
    <t>X28</t>
  </si>
  <si>
    <t>X3</t>
  </si>
  <si>
    <t>X30</t>
  </si>
  <si>
    <t>X33</t>
  </si>
  <si>
    <t>X35</t>
  </si>
  <si>
    <t>X36</t>
  </si>
  <si>
    <t>X38</t>
  </si>
  <si>
    <t>X39</t>
  </si>
  <si>
    <t>X4</t>
  </si>
  <si>
    <t>X40</t>
  </si>
  <si>
    <t>X41</t>
  </si>
  <si>
    <t>X42</t>
  </si>
  <si>
    <t>X43</t>
  </si>
  <si>
    <t>X44</t>
  </si>
  <si>
    <t>X45</t>
  </si>
  <si>
    <t>X47</t>
  </si>
  <si>
    <t>X48</t>
  </si>
  <si>
    <t>X49</t>
  </si>
  <si>
    <t>X5</t>
  </si>
  <si>
    <t>X50</t>
  </si>
  <si>
    <t>X51</t>
  </si>
  <si>
    <t>Per 2 meter calculeren</t>
  </si>
  <si>
    <t>Versie 9: YIMM geupdated.</t>
  </si>
  <si>
    <t>Versie 10: SK-deel verwijderd uit het tabje "Calculatie"</t>
  </si>
  <si>
    <t>PED KEURING</t>
  </si>
  <si>
    <t>Keuring per VRF systeem</t>
  </si>
  <si>
    <t>Versie 11: extra dummy regels toegevoegd. Onder het kopje uitbesteding 'PED keuring' toegevoegd.</t>
  </si>
  <si>
    <t>Vandoren Projects B.V.</t>
  </si>
  <si>
    <t>* nieuw lid per 01-06-2025</t>
  </si>
  <si>
    <t>Vriend B.V.</t>
  </si>
  <si>
    <t>Grutto 20</t>
  </si>
  <si>
    <t>7741 LD</t>
  </si>
  <si>
    <t>COEVORDEN</t>
  </si>
  <si>
    <t>0524-593593</t>
  </si>
  <si>
    <t>04006762</t>
  </si>
  <si>
    <t>* nieuw lid per 18-08-2025</t>
  </si>
  <si>
    <t>Vriend Duurzaam B.V.</t>
  </si>
  <si>
    <t>Zandeweg 1</t>
  </si>
  <si>
    <t>5107 NM</t>
  </si>
  <si>
    <t>* verhuisd per 27-5-2025</t>
  </si>
  <si>
    <t>s-HERTOGENBOSCH</t>
  </si>
  <si>
    <t>* overname Ecensy B.V. per 01-06-2025</t>
  </si>
  <si>
    <t>Turbinestraat 15</t>
  </si>
  <si>
    <t>3903 LV</t>
  </si>
  <si>
    <t>* nieuwe locatie per 27-5-2025</t>
  </si>
  <si>
    <t>Installatiebedrijf Pobezin</t>
  </si>
  <si>
    <t>Harmoniestraat 27A</t>
  </si>
  <si>
    <t>6432 EK</t>
  </si>
  <si>
    <t>HOENSBROEK</t>
  </si>
  <si>
    <t>* nieuw lid per 01-12-2025</t>
  </si>
  <si>
    <t>Hoppenbrouwers Techniek Zuid-Beijerland</t>
  </si>
  <si>
    <t>Jan van der Heydenstraat 9</t>
  </si>
  <si>
    <t>3284 WB</t>
  </si>
  <si>
    <t>Zuid-Beijerland</t>
  </si>
  <si>
    <t>0186-662456</t>
  </si>
  <si>
    <t>* nieuw lid per 16-05-2025 - per 28-11-2025 naamswijziging</t>
  </si>
  <si>
    <t>TechniekHelden B.V.</t>
  </si>
  <si>
    <t>Transistorstraat 2B</t>
  </si>
  <si>
    <t>Schouten Techniek B.V</t>
  </si>
  <si>
    <t>De Marowijne 47</t>
  </si>
  <si>
    <t>1689 AR</t>
  </si>
  <si>
    <t>ZWAAG</t>
  </si>
  <si>
    <t>0229-291500</t>
  </si>
  <si>
    <t>* nieuw lid per 01-01-2026</t>
  </si>
  <si>
    <t>Schouten Techniek B.V.</t>
  </si>
  <si>
    <t>Frankenweg 45-e</t>
  </si>
  <si>
    <t>2153 PD</t>
  </si>
  <si>
    <t>NIEUW-VENNEP</t>
  </si>
  <si>
    <t>Ursem Modulaire Bouwsystemen B.V.</t>
  </si>
  <si>
    <t>Spoorstraat 6</t>
  </si>
  <si>
    <t>1687 AE</t>
  </si>
  <si>
    <t>WOGNUM</t>
  </si>
  <si>
    <t>DGC ledenlijst per 1 januari 2026</t>
  </si>
  <si>
    <t>Inoac leidinggoot 99x68mm CD-100W</t>
  </si>
  <si>
    <t>Prem. balk hoog 1,00 x 0,19 x 0,20m</t>
  </si>
  <si>
    <t>BN0440006302010056</t>
  </si>
  <si>
    <t>Inoac NT-100W T-stuk incl.2x verl. 60/75</t>
  </si>
  <si>
    <t>GRIF SILIC. SPRY 300ML BS</t>
  </si>
  <si>
    <t>PVC tape 50x20 zwart HT-50-PVC</t>
  </si>
  <si>
    <t>Versie 12: DGC ledenlijst per 1-1-2026 toegevoegd, parkeerkosten herzien naar 2026 en YIMM geupdated.</t>
  </si>
  <si>
    <t>BUSINESS UNIT: SCHILT AIRCONDITIONING ==&gt; 2026</t>
  </si>
  <si>
    <t>ENGINEERING</t>
  </si>
  <si>
    <t>Projectleider/Engineer</t>
  </si>
  <si>
    <t xml:space="preserve">Versie 13: Quotation sheet 2025 aangepast naar 2026. Formule ploegdagen in het tabje calculatie vereenvoudigd, SA-nummer verwijderd, airco-units verwijderd. Engineering toegevoegd in het tabje calculatie en quotation sheet. </t>
  </si>
  <si>
    <t>BN0440008001000300</t>
  </si>
  <si>
    <t>BN0440008001000400</t>
  </si>
  <si>
    <t>BN0440008001000500</t>
  </si>
  <si>
    <t>BN0440008001000600</t>
  </si>
  <si>
    <t>BN0440005900000124</t>
  </si>
  <si>
    <t>BN0440008110425075</t>
  </si>
  <si>
    <t>BN0440008110525075</t>
  </si>
  <si>
    <t>BN0440008110625075</t>
  </si>
  <si>
    <t>BN0440008110825075</t>
  </si>
  <si>
    <t>BN0440008111025075</t>
  </si>
  <si>
    <t>BN0440008110425125</t>
  </si>
  <si>
    <t>BN0440008110525125</t>
  </si>
  <si>
    <t>BN0440008110625125</t>
  </si>
  <si>
    <t>BN0440008110825125</t>
  </si>
  <si>
    <t>BN0440008100425125</t>
  </si>
  <si>
    <t>BN0440008100525125</t>
  </si>
  <si>
    <t>BN0440008100625125</t>
  </si>
  <si>
    <t>BN0440008100825125</t>
  </si>
  <si>
    <t>BN0440008101025125</t>
  </si>
  <si>
    <t>BN0440008200325125</t>
  </si>
  <si>
    <t>BN0440008200425125</t>
  </si>
  <si>
    <t>BN0440008200525125</t>
  </si>
  <si>
    <t>BN0440008200625125</t>
  </si>
  <si>
    <t>BN0440008200825125</t>
  </si>
  <si>
    <t>BN0440008200425225</t>
  </si>
  <si>
    <t>BN0440008200625225</t>
  </si>
  <si>
    <t>BN0440008200825225</t>
  </si>
  <si>
    <t>Aero-Aluphon25/080x1000</t>
  </si>
  <si>
    <t>Aero-Aluphon25/100x1000</t>
  </si>
  <si>
    <t>Aero-Aluphon25/125x1000</t>
  </si>
  <si>
    <t>Aero-Aluphon25/160x1000</t>
  </si>
  <si>
    <t>Aero-Aluphon25/200x1000</t>
  </si>
  <si>
    <t>Aero-Aluphon25/250x1000</t>
  </si>
  <si>
    <t>Aero-Aluphon25/315x1000</t>
  </si>
  <si>
    <t>Aero-Aluphon25/400x1000</t>
  </si>
  <si>
    <t>Aero-Aluphon50/080x1000</t>
  </si>
  <si>
    <t>Aero-Aluphon50/100x1000</t>
  </si>
  <si>
    <t>Aero-Aluphon50/125x1000</t>
  </si>
  <si>
    <t>Aero-Aluphon50/160x1000</t>
  </si>
  <si>
    <t>Aero-Aluphon50/200x1000</t>
  </si>
  <si>
    <t>Aero-Aluphon50/250x1000</t>
  </si>
  <si>
    <t>Aero-Aluphon50/315x1000</t>
  </si>
  <si>
    <t>Aero-Aluphon50/400x1000</t>
  </si>
  <si>
    <t>25mm isolatiemantel, L=1000mm</t>
  </si>
  <si>
    <t>50mm isolatiemantel, L=1000mm</t>
  </si>
  <si>
    <t>inclusief AircoBox plenum, RAL9010</t>
  </si>
  <si>
    <t>RAL9010</t>
  </si>
  <si>
    <t>incl. luchthapper en volumeregelaar, verzinkt</t>
  </si>
  <si>
    <t>incl. volumeregelaar en inbouwframe, verdekte montage, RAL9010</t>
  </si>
  <si>
    <t>Rooster SWR-PM 300 595x595 RAL 9010</t>
  </si>
  <si>
    <t>Rooster SWR-PM 400 595x595 RAL 9010</t>
  </si>
  <si>
    <t>Rooster SWR-PM 500 595x595 RAL 9010</t>
  </si>
  <si>
    <t>Rooster SWR-PM 600 595x595 RAL 9010</t>
  </si>
  <si>
    <t>Rooster SQL-PM 600 595x595 m. zwart dk</t>
  </si>
  <si>
    <t>Kanaalrooster SKR-R 425x75 rond.kan.</t>
  </si>
  <si>
    <t>Kanaalrooster SKR-R 525x75 rond.kan.</t>
  </si>
  <si>
    <t>Kanaalrooster SKR-R 625x75 rond.kan.</t>
  </si>
  <si>
    <t>Kanaalrooster SKR-R 825x75 rond.kan.</t>
  </si>
  <si>
    <t>Kanaalrooster SKR-R 1025x75 rond.kan.</t>
  </si>
  <si>
    <t>Kanaalrooster SKR-R 425x125 rond.kan.</t>
  </si>
  <si>
    <t>Kanaalrooster SKR-R 525x125 rond.kan.</t>
  </si>
  <si>
    <t>Kanaalrooster SKR-R 625x125 rond.kan.</t>
  </si>
  <si>
    <t>Kanaalrooster SKR-R 825x125 rond.kan.</t>
  </si>
  <si>
    <t>Kanaalrooster SKR 425x125 recht.kan.</t>
  </si>
  <si>
    <t>Kanaalrooster SKR 525x125 recht.kan.</t>
  </si>
  <si>
    <t>Kanaalrooster SKR 625x125 recht.kan.</t>
  </si>
  <si>
    <t>Kanaalrooster SKR 825x125 recht.kan.</t>
  </si>
  <si>
    <t>Kanaalrooster SKR 1025x125 recht.kan.</t>
  </si>
  <si>
    <t>Wandrooster SLR 325x125</t>
  </si>
  <si>
    <t>Wandrooster SLR 425x125</t>
  </si>
  <si>
    <t>Wandrooster SLR 525x125</t>
  </si>
  <si>
    <t>Wandrooster SLR 625x125</t>
  </si>
  <si>
    <t>Wandrooster SLR 825x125</t>
  </si>
  <si>
    <t>Wandrooster SLR 425x225</t>
  </si>
  <si>
    <t>Wandrooster SLR 625x225</t>
  </si>
  <si>
    <t>Wandrooster SLR 825x225</t>
  </si>
  <si>
    <t>Versie 14: Formule ploegdagen weer terug aangepast ivm kringverwijzing. Materiaallijst kloppend gemaakt van apparatuur. Artikelen ST toegevoegd.</t>
  </si>
  <si>
    <t xml:space="preserve">Versie 15: artikel halogeenvrij CCA 2x1 kabel (BN0440006300000376) verwijderd. </t>
  </si>
  <si>
    <t>UITGANGSPUNTEN :</t>
  </si>
  <si>
    <t>Versie 16: Uitgangspuntenveld toegevoegd in het tabje "Calculatie". Dit is een veld om aan te geven welke uitgangspunten genomen zijn tijdens het aanbieden van de offerte.</t>
  </si>
  <si>
    <t>BN0440006302010066</t>
  </si>
  <si>
    <t>Inoac goot 2 m 99x68mm CD-100BK</t>
  </si>
  <si>
    <t>BN0440006302010072</t>
  </si>
  <si>
    <t>Inoac goot 2 m 99x68mm CD-75BK</t>
  </si>
  <si>
    <t>BN0440006328000019</t>
  </si>
  <si>
    <t>Premium opstelbalk - 60cm incl.bouten</t>
  </si>
  <si>
    <t>BN0440006302010070</t>
  </si>
  <si>
    <t>Inoac verbindingssok NS-75BK</t>
  </si>
  <si>
    <t>BN0440006302010068</t>
  </si>
  <si>
    <t>Inoac stijg. buitenbocht 90 gr. NC-75BK</t>
  </si>
  <si>
    <t>BN0440006302010071</t>
  </si>
  <si>
    <t>Inoac plafond/wand eindstuk NA-75BK</t>
  </si>
  <si>
    <t>BN0440006302010067</t>
  </si>
  <si>
    <t>Inoac lange bocht 90gr. NE-75BK</t>
  </si>
  <si>
    <t>C13</t>
  </si>
  <si>
    <t>BN0440006302010069</t>
  </si>
  <si>
    <t>Inoac muur afdekkap NW-75BK</t>
  </si>
  <si>
    <t>C14</t>
  </si>
  <si>
    <t>BN0440006302010062</t>
  </si>
  <si>
    <t>Inoac verbindingssok NS-100BK</t>
  </si>
  <si>
    <t>C5</t>
  </si>
  <si>
    <t>BN0440006302010065</t>
  </si>
  <si>
    <t>Inoac NT-100BK T-Stuk incl.2xverl 60/75</t>
  </si>
  <si>
    <t>BN0440006302010064</t>
  </si>
  <si>
    <t>Inoac stijgende lange bocht NC-100BK</t>
  </si>
  <si>
    <t>BN0440006302010063</t>
  </si>
  <si>
    <t>Inoac plafond/wand eindstuk NA-100BK</t>
  </si>
  <si>
    <t>C7</t>
  </si>
  <si>
    <t>BN0440006302010060</t>
  </si>
  <si>
    <t>Inoac platte bocht 90gr. NE-100BK</t>
  </si>
  <si>
    <t>BN0440006302010061</t>
  </si>
  <si>
    <t>Inoac muur afdekkap NW-100BK</t>
  </si>
  <si>
    <t>C9</t>
  </si>
  <si>
    <t>Carrosseriering M8x30 verzinkt (100 st.)</t>
  </si>
  <si>
    <t>Versie 17: YIMM geupdated. Woord 'DUMMY …' verwijderd uit calculatie. Barcodes toegevoegd op de materiaallijst. Formules bij uren voorstel en definitief matchend gemaakt.</t>
  </si>
  <si>
    <t>CENTERCON</t>
  </si>
  <si>
    <t>factor</t>
  </si>
  <si>
    <t>Harde koelleiding</t>
  </si>
  <si>
    <t>Kabelgoot</t>
  </si>
  <si>
    <t>Condensafvoerleiding</t>
  </si>
  <si>
    <t xml:space="preserve">Koelleiding 3/8 x 3/4 </t>
  </si>
  <si>
    <t>Koelleiding 1/2 x 7/8 (2x single)</t>
  </si>
  <si>
    <t>Koelleiding 1/2 x 7/8</t>
  </si>
  <si>
    <t>PVC dakleiding</t>
  </si>
  <si>
    <t>Toebehoren luchtverdeling (ST)</t>
  </si>
  <si>
    <t>J19</t>
  </si>
  <si>
    <t>BN0440006302010073</t>
  </si>
  <si>
    <t>Inoac NT-75BK T-stuk incl. 2x verloop 60</t>
  </si>
  <si>
    <t>C15</t>
  </si>
  <si>
    <t>C16</t>
  </si>
  <si>
    <t>C17</t>
  </si>
  <si>
    <t>C18</t>
  </si>
  <si>
    <t>J22</t>
  </si>
  <si>
    <t>J31</t>
  </si>
  <si>
    <t>J38</t>
  </si>
  <si>
    <t>J39</t>
  </si>
  <si>
    <t>J41</t>
  </si>
  <si>
    <t>BN0440006300000329</t>
  </si>
  <si>
    <t>LAPP MSNR UL SC2.1 1X10 GG MT</t>
  </si>
  <si>
    <t>T1A</t>
  </si>
  <si>
    <t>BN0440006300000331</t>
  </si>
  <si>
    <t>KLAU BSKABSCHN 42R/8 10MM2</t>
  </si>
  <si>
    <t>BN0440006300000333</t>
  </si>
  <si>
    <t>KLAU PERSKSCHN 2R/8MS 10MM2</t>
  </si>
  <si>
    <t>Storage Bin</t>
  </si>
  <si>
    <t>Storage Location On-Order Stock</t>
  </si>
  <si>
    <t>St loc theoric quantity available</t>
  </si>
  <si>
    <t>Versie 26.1: versie obv jaartal. Meter prijs harde koelleiding aangepast. Zachte koelleiding 1/2 7/8 toegevoegd.</t>
  </si>
  <si>
    <t>Versie 26.2: Artikel Inoac NT-75BK T-stuk incl. 2x verloop 60 toegevoegd aan het tabje 'Calculatie'.</t>
  </si>
  <si>
    <t>Versie 26.3: Tabje 'Budget voor admin' op 2 decimalen gezet zodat dit geen problemen geeft tijdens het budget invullen in Codex. De uren in tabje 'Calculatie' afgerond omhoog op 0 decimalen.</t>
  </si>
  <si>
    <t>Versie 26.4: Tabje 'Calculatie' reisuren afronding aangepast naar significantie van de retour reistijd.</t>
  </si>
  <si>
    <t>BN0440006399000039</t>
  </si>
  <si>
    <t>Datakabel Cca 2x16AWG halogeenvrij grijs</t>
  </si>
  <si>
    <t>BN0440007302010074</t>
  </si>
  <si>
    <t>Aansluitkabel VMvL Eca wit 3x1,50mm -100</t>
  </si>
  <si>
    <t>K13A</t>
  </si>
  <si>
    <t>BN0440006399000038</t>
  </si>
  <si>
    <t>Stuurstroomkabel CPR S1 D1 A1 4x1,5 mm2</t>
  </si>
  <si>
    <t>BN0440006302010074</t>
  </si>
  <si>
    <t>9611 soldeer T-stuk 3/8"</t>
  </si>
  <si>
    <t>U27</t>
  </si>
  <si>
    <t>Uitlopend</t>
  </si>
  <si>
    <t>Verwacht beschikbaar vanaf 1-10-2026 (in bestelling)</t>
  </si>
  <si>
    <t>Versie 26.5: YIMM geupdated.</t>
  </si>
  <si>
    <t>26.6</t>
  </si>
  <si>
    <t>Versie 26.6: Volgorde INOAC (goot) aangepast in het tabje 'Calculatie'.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</si>
</sst>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;@"/>
    <numFmt numFmtId="165" formatCode="00"/>
    <numFmt numFmtId="166" formatCode="#,##0&quot; &quot;"/>
    <numFmt numFmtId="167" formatCode="0.0"/>
    <numFmt numFmtId="168" formatCode="0.0%"/>
    <numFmt numFmtId="169" formatCode="[$€-2]\ #,##0.00_-"/>
    <numFmt numFmtId="170" formatCode="&quot;€&quot;\ #,##0.00_-"/>
    <numFmt numFmtId="171" formatCode="[$€-2]\ #,##0.00"/>
    <numFmt numFmtId="172" formatCode="&quot;€&quot;\ #,##0.00"/>
    <numFmt numFmtId="173" formatCode="_ * #,##0_ ;_ * \-#,##0_ ;_ * &quot;-&quot;??_ ;_ @_ "/>
  </numFmts>
  <fonts count="42">
    <font>
      <sz val="11"/>
      <color theme="1"/>
      <name val="Aptos Narrow"/>
      <family val="2"/>
      <scheme val="minor"/>
    </font>
    <font>
      <sz val="9"/>
      <color theme="1"/>
      <name val="Verdana"/>
      <family val="2"/>
    </font>
    <font>
      <sz val="11"/>
      <color theme="1"/>
      <name val="Aptos Narrow"/>
      <family val="2"/>
      <scheme val="minor"/>
    </font>
    <font>
      <sz val="10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10"/>
      <name val="Calibri"/>
      <family val="2"/>
    </font>
    <font>
      <sz val="8"/>
      <name val="Calibri"/>
      <family val="2"/>
    </font>
    <font>
      <b/>
      <sz val="11"/>
      <name val="Calibri"/>
      <family val="2"/>
    </font>
    <font>
      <b/>
      <sz val="10"/>
      <name val="Arial"/>
      <family val="2"/>
    </font>
    <font>
      <b/>
      <i/>
      <sz val="10"/>
      <name val="Calibri"/>
      <family val="2"/>
    </font>
    <font>
      <i/>
      <sz val="9"/>
      <name val="Calibri"/>
      <family val="2"/>
    </font>
    <font>
      <b/>
      <i/>
      <sz val="10"/>
      <name val="Arial"/>
      <family val="2"/>
    </font>
    <font>
      <b/>
      <sz val="12"/>
      <name val="Calibri"/>
      <family val="2"/>
    </font>
    <font>
      <sz val="9"/>
      <name val="Calibri"/>
      <family val="2"/>
    </font>
    <font>
      <b/>
      <u/>
      <sz val="10"/>
      <name val="Calibri"/>
      <family val="2"/>
    </font>
    <font>
      <sz val="14"/>
      <name val="Arial"/>
      <family val="2"/>
    </font>
    <font>
      <sz val="11"/>
      <name val="ＭＳ Ｐゴシック"/>
      <charset val="128"/>
    </font>
    <font>
      <u/>
      <sz val="14"/>
      <name val="Arial"/>
      <family val="2"/>
    </font>
    <font>
      <sz val="14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202124"/>
      <name val="Arial"/>
      <family val="2"/>
    </font>
    <font>
      <strike/>
      <sz val="10"/>
      <name val="Arial"/>
      <family val="2"/>
    </font>
    <font>
      <sz val="10"/>
      <color rgb="FFFF0000"/>
      <name val="Arial"/>
      <family val="2"/>
    </font>
    <font>
      <b/>
      <sz val="14"/>
      <color theme="1"/>
      <name val="Arial"/>
      <family val="2"/>
    </font>
    <font>
      <sz val="9"/>
      <color rgb="FF000000"/>
      <name val="Verdana"/>
      <family val="2"/>
    </font>
    <font>
      <b/>
      <sz val="9"/>
      <color rgb="FF000000"/>
      <name val="Verdana"/>
      <family val="2"/>
    </font>
    <font>
      <u/>
      <sz val="9"/>
      <color rgb="FF000000"/>
      <name val="Verdana"/>
      <family val="2"/>
    </font>
    <font>
      <b/>
      <sz val="9"/>
      <color theme="1"/>
      <name val="Verdana"/>
      <family val="2"/>
    </font>
    <font>
      <i/>
      <sz val="9"/>
      <color theme="1"/>
      <name val="Verdana"/>
      <family val="2"/>
    </font>
    <font>
      <b/>
      <sz val="12"/>
      <color theme="1"/>
      <name val="Calibri"/>
      <family val="2"/>
    </font>
    <font>
      <i/>
      <sz val="9"/>
      <color theme="1"/>
      <name val="Calibri"/>
      <family val="2"/>
    </font>
    <font>
      <sz val="10"/>
      <color theme="1"/>
      <name val="Calibri"/>
      <family val="2"/>
    </font>
    <font>
      <sz val="14"/>
      <color rgb="FFFF0000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4"/>
      <color theme="0"/>
      <name val="Arial"/>
      <family val="2"/>
    </font>
    <font>
      <sz val="11"/>
      <color theme="8" tint="0.79998168889431442"/>
      <name val="Aptos Narrow"/>
      <family val="2"/>
    </font>
    <font>
      <sz val="11"/>
      <color theme="1"/>
      <name val="Aptos Narrow"/>
      <family val="2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1B3"/>
        <bgColor rgb="FFFFD1B3"/>
      </patternFill>
    </fill>
    <fill>
      <patternFill patternType="solid">
        <fgColor rgb="FFFFF5B3"/>
        <bgColor rgb="FFFFF5B3"/>
      </patternFill>
    </fill>
    <fill>
      <patternFill patternType="solid">
        <fgColor rgb="FFD1FFB3"/>
        <bgColor rgb="FFD1FFB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rgb="FFFFD1B3"/>
      </patternFill>
    </fill>
    <fill>
      <patternFill patternType="solid">
        <fgColor rgb="FFC6C9FE"/>
        <bgColor rgb="FFD1FFB3"/>
      </patternFill>
    </fill>
    <fill>
      <patternFill patternType="solid">
        <fgColor rgb="FFC6C9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rgb="FFD1FFB3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00"/>
        <bgColor rgb="FFD1FFB3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7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7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34">
    <xf numFmtId="0" fontId="0" fillId="0" borderId="0" xfId="0"/>
    <xf numFmtId="8" fontId="0" fillId="0" borderId="0" xfId="0" applyNumberFormat="1"/>
    <xf numFmtId="0" fontId="20" fillId="0" borderId="0" xfId="0" applyFont="1"/>
    <xf numFmtId="168" fontId="20" fillId="0" borderId="0" xfId="5" applyNumberFormat="1" applyFont="1"/>
    <xf numFmtId="168" fontId="0" fillId="0" borderId="0" xfId="5" applyNumberFormat="1" applyFont="1"/>
    <xf numFmtId="0" fontId="16" fillId="4" borderId="0" xfId="0" applyFont="1" applyFill="1" applyAlignment="1">
      <alignment horizontal="center" vertical="top" wrapText="1"/>
    </xf>
    <xf numFmtId="0" fontId="5" fillId="4" borderId="49" xfId="0" applyFont="1" applyFill="1" applyBorder="1" applyAlignment="1">
      <alignment horizontal="left" vertical="top" wrapText="1"/>
    </xf>
    <xf numFmtId="0" fontId="5" fillId="4" borderId="49" xfId="0" applyFont="1" applyFill="1" applyBorder="1" applyAlignment="1">
      <alignment horizontal="right" vertical="top" wrapText="1"/>
    </xf>
    <xf numFmtId="0" fontId="5" fillId="4" borderId="49" xfId="0" applyFont="1" applyFill="1" applyBorder="1" applyAlignment="1">
      <alignment vertical="top" wrapText="1"/>
    </xf>
    <xf numFmtId="0" fontId="5" fillId="4" borderId="49" xfId="0" applyFont="1" applyFill="1" applyBorder="1" applyAlignment="1">
      <alignment vertical="top"/>
    </xf>
    <xf numFmtId="0" fontId="0" fillId="5" borderId="0" xfId="0" applyFill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21" fillId="5" borderId="0" xfId="0" applyFont="1" applyFill="1" applyAlignment="1">
      <alignment vertical="top" wrapText="1"/>
    </xf>
    <xf numFmtId="0" fontId="21" fillId="5" borderId="0" xfId="0" quotePrefix="1" applyFont="1" applyFill="1" applyAlignment="1">
      <alignment horizontal="right" vertical="top" wrapText="1"/>
    </xf>
    <xf numFmtId="0" fontId="0" fillId="5" borderId="0" xfId="0" applyFill="1" applyAlignment="1">
      <alignment vertical="top" wrapText="1"/>
    </xf>
    <xf numFmtId="0" fontId="21" fillId="5" borderId="0" xfId="0" applyFont="1" applyFill="1" applyAlignment="1">
      <alignment horizontal="center" vertical="top"/>
    </xf>
    <xf numFmtId="0" fontId="0" fillId="0" borderId="0" xfId="0" applyAlignment="1">
      <alignment horizontal="center" vertical="top" wrapText="1"/>
    </xf>
    <xf numFmtId="0" fontId="21" fillId="0" borderId="0" xfId="0" applyFont="1" applyAlignment="1">
      <alignment vertical="top" wrapText="1"/>
    </xf>
    <xf numFmtId="0" fontId="21" fillId="0" borderId="0" xfId="0" quotePrefix="1" applyFont="1" applyAlignment="1">
      <alignment horizontal="right" vertical="top" wrapText="1"/>
    </xf>
    <xf numFmtId="0" fontId="21" fillId="0" borderId="0" xfId="0" applyFont="1" applyAlignment="1">
      <alignment horizontal="center" vertical="top"/>
    </xf>
    <xf numFmtId="0" fontId="21" fillId="2" borderId="0" xfId="0" applyFont="1" applyFill="1" applyAlignment="1">
      <alignment vertical="top" wrapText="1"/>
    </xf>
    <xf numFmtId="0" fontId="0" fillId="5" borderId="0" xfId="0" quotePrefix="1" applyFill="1" applyAlignment="1">
      <alignment horizontal="right" vertical="top" wrapText="1"/>
    </xf>
    <xf numFmtId="0" fontId="0" fillId="0" borderId="0" xfId="0" quotePrefix="1" applyAlignment="1">
      <alignment horizontal="right" vertical="top" wrapText="1"/>
    </xf>
    <xf numFmtId="0" fontId="21" fillId="2" borderId="0" xfId="0" applyFont="1" applyFill="1" applyAlignment="1">
      <alignment vertical="top"/>
    </xf>
    <xf numFmtId="0" fontId="0" fillId="0" borderId="0" xfId="0" applyAlignment="1">
      <alignment vertical="top" wrapText="1"/>
    </xf>
    <xf numFmtId="0" fontId="22" fillId="0" borderId="0" xfId="0" applyFont="1"/>
    <xf numFmtId="0" fontId="21" fillId="0" borderId="0" xfId="0" applyFont="1"/>
    <xf numFmtId="0" fontId="23" fillId="0" borderId="0" xfId="0" applyFont="1" applyAlignment="1">
      <alignment horizontal="center" vertical="top"/>
    </xf>
    <xf numFmtId="0" fontId="21" fillId="0" borderId="0" xfId="0" quotePrefix="1" applyFont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21" fillId="0" borderId="0" xfId="0" applyFont="1" applyAlignment="1">
      <alignment vertical="top"/>
    </xf>
    <xf numFmtId="0" fontId="0" fillId="0" borderId="0" xfId="0" quotePrefix="1" applyAlignment="1">
      <alignment vertical="top" wrapText="1"/>
    </xf>
    <xf numFmtId="0" fontId="21" fillId="0" borderId="0" xfId="0" applyFont="1" applyAlignment="1">
      <alignment horizontal="center" vertical="top" wrapText="1"/>
    </xf>
    <xf numFmtId="0" fontId="0" fillId="5" borderId="0" xfId="0" quotePrefix="1" applyFill="1" applyAlignment="1">
      <alignment vertical="top" wrapText="1"/>
    </xf>
    <xf numFmtId="0" fontId="21" fillId="5" borderId="0" xfId="0" quotePrefix="1" applyFont="1" applyFill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4" borderId="0" xfId="0" applyFont="1" applyFill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top"/>
    </xf>
    <xf numFmtId="44" fontId="16" fillId="0" borderId="0" xfId="4" applyFont="1" applyFill="1" applyProtection="1"/>
    <xf numFmtId="0" fontId="20" fillId="10" borderId="0" xfId="0" applyFont="1" applyFill="1"/>
    <xf numFmtId="0" fontId="0" fillId="3" borderId="0" xfId="0" applyFill="1"/>
    <xf numFmtId="0" fontId="26" fillId="0" borderId="0" xfId="0" applyFont="1"/>
    <xf numFmtId="0" fontId="26" fillId="0" borderId="1" xfId="0" applyFont="1" applyBorder="1"/>
    <xf numFmtId="0" fontId="26" fillId="0" borderId="2" xfId="0" applyFont="1" applyBorder="1"/>
    <xf numFmtId="0" fontId="26" fillId="0" borderId="3" xfId="0" applyFont="1" applyBorder="1"/>
    <xf numFmtId="0" fontId="27" fillId="0" borderId="2" xfId="0" applyFont="1" applyBorder="1"/>
    <xf numFmtId="0" fontId="26" fillId="0" borderId="4" xfId="0" applyFont="1" applyBorder="1"/>
    <xf numFmtId="0" fontId="26" fillId="0" borderId="5" xfId="0" applyFont="1" applyBorder="1"/>
    <xf numFmtId="8" fontId="26" fillId="0" borderId="4" xfId="0" applyNumberFormat="1" applyFont="1" applyBorder="1"/>
    <xf numFmtId="8" fontId="26" fillId="0" borderId="0" xfId="0" applyNumberFormat="1" applyFont="1"/>
    <xf numFmtId="8" fontId="26" fillId="0" borderId="5" xfId="0" applyNumberFormat="1" applyFont="1" applyBorder="1"/>
    <xf numFmtId="0" fontId="26" fillId="0" borderId="6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" xfId="0" applyFont="1" applyBorder="1"/>
    <xf numFmtId="0" fontId="26" fillId="0" borderId="5" xfId="0" applyFont="1" applyBorder="1" applyAlignment="1">
      <alignment horizontal="right"/>
    </xf>
    <xf numFmtId="0" fontId="28" fillId="0" borderId="0" xfId="0" applyFont="1"/>
    <xf numFmtId="0" fontId="27" fillId="0" borderId="0" xfId="0" applyFont="1"/>
    <xf numFmtId="8" fontId="26" fillId="3" borderId="4" xfId="0" applyNumberFormat="1" applyFont="1" applyFill="1" applyBorder="1"/>
    <xf numFmtId="14" fontId="27" fillId="0" borderId="2" xfId="0" applyNumberFormat="1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29" fillId="0" borderId="2" xfId="0" applyNumberFormat="1" applyFont="1" applyBorder="1"/>
    <xf numFmtId="14" fontId="0" fillId="0" borderId="2" xfId="0" applyNumberFormat="1" applyBorder="1"/>
    <xf numFmtId="0" fontId="0" fillId="0" borderId="4" xfId="0" applyBorder="1"/>
    <xf numFmtId="0" fontId="0" fillId="0" borderId="5" xfId="0" applyBorder="1"/>
    <xf numFmtId="172" fontId="0" fillId="0" borderId="4" xfId="0" applyNumberFormat="1" applyBorder="1"/>
    <xf numFmtId="172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72" fontId="0" fillId="0" borderId="6" xfId="0" applyNumberFormat="1" applyBorder="1"/>
    <xf numFmtId="172" fontId="0" fillId="0" borderId="7" xfId="0" applyNumberFormat="1" applyBorder="1"/>
    <xf numFmtId="0" fontId="29" fillId="0" borderId="2" xfId="0" applyFont="1" applyBorder="1"/>
    <xf numFmtId="0" fontId="29" fillId="0" borderId="1" xfId="0" applyFont="1" applyBorder="1"/>
    <xf numFmtId="172" fontId="0" fillId="0" borderId="2" xfId="0" applyNumberFormat="1" applyBorder="1"/>
    <xf numFmtId="0" fontId="0" fillId="0" borderId="0" xfId="0" applyAlignment="1">
      <alignment horizontal="right"/>
    </xf>
    <xf numFmtId="172" fontId="29" fillId="3" borderId="5" xfId="0" applyNumberFormat="1" applyFont="1" applyFill="1" applyBorder="1"/>
    <xf numFmtId="0" fontId="30" fillId="0" borderId="0" xfId="0" applyFont="1"/>
    <xf numFmtId="172" fontId="30" fillId="0" borderId="0" xfId="0" applyNumberFormat="1" applyFont="1"/>
    <xf numFmtId="0" fontId="33" fillId="7" borderId="60" xfId="0" applyFont="1" applyFill="1" applyBorder="1" applyProtection="1">
      <protection locked="0"/>
    </xf>
    <xf numFmtId="0" fontId="33" fillId="7" borderId="50" xfId="0" applyFont="1" applyFill="1" applyBorder="1" applyProtection="1">
      <protection locked="0"/>
    </xf>
    <xf numFmtId="0" fontId="33" fillId="7" borderId="62" xfId="0" applyFont="1" applyFill="1" applyBorder="1" applyProtection="1">
      <protection locked="0"/>
    </xf>
    <xf numFmtId="0" fontId="33" fillId="7" borderId="52" xfId="0" applyFont="1" applyFill="1" applyBorder="1" applyProtection="1">
      <protection locked="0"/>
    </xf>
    <xf numFmtId="0" fontId="33" fillId="7" borderId="0" xfId="0" applyFont="1" applyFill="1" applyProtection="1">
      <protection locked="0"/>
    </xf>
    <xf numFmtId="0" fontId="33" fillId="7" borderId="75" xfId="0" applyFont="1" applyFill="1" applyBorder="1" applyProtection="1">
      <protection locked="0"/>
    </xf>
    <xf numFmtId="173" fontId="32" fillId="7" borderId="48" xfId="6" applyNumberFormat="1" applyFont="1" applyFill="1" applyBorder="1" applyProtection="1">
      <protection locked="0"/>
    </xf>
    <xf numFmtId="173" fontId="31" fillId="7" borderId="66" xfId="6" applyNumberFormat="1" applyFont="1" applyFill="1" applyBorder="1" applyAlignment="1" applyProtection="1">
      <alignment vertical="center"/>
      <protection locked="0"/>
    </xf>
    <xf numFmtId="173" fontId="31" fillId="0" borderId="66" xfId="6" applyNumberFormat="1" applyFont="1" applyFill="1" applyBorder="1" applyAlignment="1" applyProtection="1">
      <alignment vertical="center"/>
    </xf>
    <xf numFmtId="10" fontId="0" fillId="0" borderId="0" xfId="2" applyNumberFormat="1" applyFont="1" applyProtection="1"/>
    <xf numFmtId="168" fontId="16" fillId="0" borderId="0" xfId="5" applyNumberFormat="1" applyFont="1" applyProtection="1"/>
    <xf numFmtId="168" fontId="19" fillId="0" borderId="0" xfId="5" applyNumberFormat="1" applyFont="1" applyProtection="1"/>
    <xf numFmtId="44" fontId="16" fillId="0" borderId="0" xfId="4" applyFont="1" applyProtection="1"/>
    <xf numFmtId="44" fontId="19" fillId="0" borderId="0" xfId="4" applyFont="1" applyFill="1" applyProtection="1"/>
    <xf numFmtId="44" fontId="16" fillId="0" borderId="70" xfId="4" applyFont="1" applyBorder="1" applyProtection="1"/>
    <xf numFmtId="44" fontId="19" fillId="8" borderId="0" xfId="4" applyFont="1" applyFill="1" applyProtection="1"/>
    <xf numFmtId="9" fontId="19" fillId="9" borderId="0" xfId="5" applyFont="1" applyFill="1" applyProtection="1"/>
    <xf numFmtId="0" fontId="19" fillId="7" borderId="0" xfId="0" applyFont="1" applyFill="1" applyProtection="1">
      <protection locked="0"/>
    </xf>
    <xf numFmtId="0" fontId="19" fillId="7" borderId="0" xfId="0" applyFont="1" applyFill="1" applyAlignment="1" applyProtection="1">
      <alignment horizontal="left"/>
      <protection locked="0"/>
    </xf>
    <xf numFmtId="44" fontId="19" fillId="7" borderId="0" xfId="4" applyFont="1" applyFill="1" applyProtection="1">
      <protection locked="0"/>
    </xf>
    <xf numFmtId="0" fontId="19" fillId="7" borderId="0" xfId="0" applyFont="1" applyFill="1" applyAlignment="1" applyProtection="1">
      <alignment wrapText="1"/>
      <protection locked="0"/>
    </xf>
    <xf numFmtId="0" fontId="19" fillId="11" borderId="0" xfId="0" applyFont="1" applyFill="1" applyProtection="1">
      <protection locked="0"/>
    </xf>
    <xf numFmtId="0" fontId="19" fillId="7" borderId="0" xfId="0" applyFont="1" applyFill="1" applyAlignment="1" applyProtection="1">
      <alignment horizontal="right"/>
      <protection locked="0"/>
    </xf>
    <xf numFmtId="9" fontId="11" fillId="9" borderId="20" xfId="5" applyFont="1" applyFill="1" applyBorder="1" applyAlignment="1" applyProtection="1">
      <alignment horizontal="center" vertical="center"/>
    </xf>
    <xf numFmtId="0" fontId="19" fillId="11" borderId="0" xfId="0" applyFont="1" applyFill="1"/>
    <xf numFmtId="0" fontId="19" fillId="7" borderId="0" xfId="0" applyFont="1" applyFill="1"/>
    <xf numFmtId="0" fontId="16" fillId="6" borderId="0" xfId="0" applyFont="1" applyFill="1" applyAlignment="1">
      <alignment horizontal="left"/>
    </xf>
    <xf numFmtId="0" fontId="19" fillId="8" borderId="0" xfId="0" applyFont="1" applyFill="1"/>
    <xf numFmtId="0" fontId="19" fillId="9" borderId="0" xfId="0" applyFont="1" applyFill="1"/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2" xfId="1" applyFont="1" applyBorder="1" applyAlignment="1">
      <alignment vertical="center"/>
    </xf>
    <xf numFmtId="0" fontId="3" fillId="0" borderId="3" xfId="1" applyFont="1" applyBorder="1" applyAlignment="1">
      <alignment vertical="center"/>
    </xf>
    <xf numFmtId="0" fontId="4" fillId="0" borderId="4" xfId="1" applyFont="1" applyBorder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5" xfId="1" applyFont="1" applyBorder="1" applyAlignment="1">
      <alignment horizontal="centerContinuous"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3" fillId="0" borderId="5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6" fillId="0" borderId="10" xfId="1" applyFont="1" applyBorder="1" applyAlignment="1">
      <alignment vertical="center"/>
    </xf>
    <xf numFmtId="0" fontId="6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164" fontId="3" fillId="0" borderId="15" xfId="1" applyNumberFormat="1" applyFont="1" applyBorder="1" applyAlignment="1">
      <alignment horizontal="center" vertical="center"/>
    </xf>
    <xf numFmtId="0" fontId="6" fillId="0" borderId="18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0" fontId="3" fillId="0" borderId="17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3" fillId="0" borderId="20" xfId="1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3" fillId="0" borderId="21" xfId="1" applyFont="1" applyBorder="1" applyAlignment="1">
      <alignment vertical="center"/>
    </xf>
    <xf numFmtId="166" fontId="3" fillId="9" borderId="75" xfId="1" applyNumberFormat="1" applyFont="1" applyFill="1" applyBorder="1" applyAlignment="1">
      <alignment vertical="center"/>
    </xf>
    <xf numFmtId="0" fontId="3" fillId="0" borderId="24" xfId="1" applyFont="1" applyBorder="1" applyAlignment="1">
      <alignment vertical="center"/>
    </xf>
    <xf numFmtId="0" fontId="3" fillId="0" borderId="25" xfId="1" applyFont="1" applyBorder="1" applyAlignment="1">
      <alignment vertical="center"/>
    </xf>
    <xf numFmtId="0" fontId="3" fillId="0" borderId="26" xfId="1" applyFont="1" applyBorder="1" applyAlignment="1">
      <alignment vertical="center"/>
    </xf>
    <xf numFmtId="0" fontId="3" fillId="0" borderId="27" xfId="1" applyFont="1" applyBorder="1" applyAlignment="1">
      <alignment vertical="center"/>
    </xf>
    <xf numFmtId="0" fontId="3" fillId="0" borderId="76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0" fontId="3" fillId="0" borderId="30" xfId="1" applyFont="1" applyBorder="1" applyAlignment="1">
      <alignment vertical="center"/>
    </xf>
    <xf numFmtId="0" fontId="3" fillId="0" borderId="28" xfId="1" applyFont="1" applyBorder="1" applyAlignment="1">
      <alignment vertical="center"/>
    </xf>
    <xf numFmtId="0" fontId="3" fillId="0" borderId="31" xfId="1" applyFont="1" applyBorder="1" applyAlignment="1">
      <alignment vertical="center"/>
    </xf>
    <xf numFmtId="0" fontId="6" fillId="0" borderId="32" xfId="1" applyFont="1" applyBorder="1" applyAlignment="1">
      <alignment horizontal="centerContinuous" vertical="center"/>
    </xf>
    <xf numFmtId="0" fontId="6" fillId="0" borderId="33" xfId="1" applyFont="1" applyBorder="1" applyAlignment="1">
      <alignment horizontal="centerContinuous" vertical="center"/>
    </xf>
    <xf numFmtId="0" fontId="6" fillId="0" borderId="34" xfId="1" applyFont="1" applyBorder="1" applyAlignment="1">
      <alignment horizontal="centerContinuous" vertical="center"/>
    </xf>
    <xf numFmtId="0" fontId="8" fillId="0" borderId="0" xfId="1" applyFont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7" xfId="1" applyFont="1" applyBorder="1" applyAlignment="1">
      <alignment horizontal="center" vertical="center"/>
    </xf>
    <xf numFmtId="0" fontId="3" fillId="0" borderId="25" xfId="1" applyFont="1" applyBorder="1" applyAlignment="1">
      <alignment horizontal="center" vertical="center"/>
    </xf>
    <xf numFmtId="0" fontId="3" fillId="0" borderId="36" xfId="1" applyFont="1" applyBorder="1" applyAlignment="1">
      <alignment horizontal="centerContinuous" vertical="center"/>
    </xf>
    <xf numFmtId="0" fontId="3" fillId="0" borderId="15" xfId="1" applyFont="1" applyBorder="1" applyAlignment="1">
      <alignment horizontal="centerContinuous" vertical="center"/>
    </xf>
    <xf numFmtId="0" fontId="3" fillId="0" borderId="0" xfId="1" applyFont="1" applyAlignment="1">
      <alignment horizontal="center" vertical="center"/>
    </xf>
    <xf numFmtId="0" fontId="3" fillId="0" borderId="28" xfId="1" applyFont="1" applyBorder="1" applyAlignment="1">
      <alignment horizontal="center" vertical="center"/>
    </xf>
    <xf numFmtId="165" fontId="3" fillId="0" borderId="35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vertical="center"/>
    </xf>
    <xf numFmtId="0" fontId="3" fillId="0" borderId="11" xfId="1" applyFont="1" applyBorder="1" applyAlignment="1">
      <alignment vertical="center"/>
    </xf>
    <xf numFmtId="166" fontId="3" fillId="9" borderId="72" xfId="1" applyNumberFormat="1" applyFont="1" applyFill="1" applyBorder="1" applyAlignment="1">
      <alignment vertical="center"/>
    </xf>
    <xf numFmtId="167" fontId="3" fillId="0" borderId="11" xfId="1" applyNumberFormat="1" applyFont="1" applyBorder="1" applyAlignment="1">
      <alignment horizontal="center" vertical="center"/>
    </xf>
    <xf numFmtId="166" fontId="3" fillId="0" borderId="35" xfId="1" applyNumberFormat="1" applyFont="1" applyBorder="1" applyAlignment="1">
      <alignment vertical="center"/>
    </xf>
    <xf numFmtId="166" fontId="3" fillId="0" borderId="37" xfId="1" applyNumberFormat="1" applyFont="1" applyBorder="1" applyAlignment="1">
      <alignment vertical="center"/>
    </xf>
    <xf numFmtId="165" fontId="3" fillId="0" borderId="45" xfId="1" applyNumberFormat="1" applyFont="1" applyBorder="1" applyAlignment="1">
      <alignment horizontal="center" vertical="center"/>
    </xf>
    <xf numFmtId="166" fontId="3" fillId="9" borderId="45" xfId="1" applyNumberFormat="1" applyFont="1" applyFill="1" applyBorder="1" applyAlignment="1">
      <alignment vertical="center"/>
    </xf>
    <xf numFmtId="167" fontId="3" fillId="0" borderId="25" xfId="1" applyNumberFormat="1" applyFont="1" applyBorder="1" applyAlignment="1">
      <alignment horizontal="center" vertical="center"/>
    </xf>
    <xf numFmtId="166" fontId="3" fillId="0" borderId="45" xfId="1" applyNumberFormat="1" applyFont="1" applyBorder="1" applyAlignment="1">
      <alignment vertical="center"/>
    </xf>
    <xf numFmtId="166" fontId="3" fillId="0" borderId="46" xfId="1" applyNumberFormat="1" applyFont="1" applyBorder="1" applyAlignment="1">
      <alignment vertical="center"/>
    </xf>
    <xf numFmtId="0" fontId="10" fillId="0" borderId="26" xfId="1" applyFont="1" applyBorder="1" applyAlignment="1">
      <alignment vertical="top"/>
    </xf>
    <xf numFmtId="0" fontId="3" fillId="0" borderId="27" xfId="1" applyFont="1" applyBorder="1" applyAlignment="1">
      <alignment vertical="top"/>
    </xf>
    <xf numFmtId="0" fontId="3" fillId="0" borderId="28" xfId="1" applyFont="1" applyBorder="1" applyAlignment="1">
      <alignment vertical="top"/>
    </xf>
    <xf numFmtId="0" fontId="6" fillId="0" borderId="11" xfId="1" applyFont="1" applyBorder="1" applyAlignment="1">
      <alignment horizontal="centerContinuous" vertical="center"/>
    </xf>
    <xf numFmtId="166" fontId="11" fillId="9" borderId="74" xfId="1" applyNumberFormat="1" applyFont="1" applyFill="1" applyBorder="1" applyAlignment="1">
      <alignment vertical="center"/>
    </xf>
    <xf numFmtId="166" fontId="11" fillId="9" borderId="48" xfId="1" applyNumberFormat="1" applyFont="1" applyFill="1" applyBorder="1" applyAlignment="1">
      <alignment vertical="center"/>
    </xf>
    <xf numFmtId="165" fontId="3" fillId="0" borderId="42" xfId="1" applyNumberFormat="1" applyFont="1" applyBorder="1" applyAlignment="1">
      <alignment horizontal="center" vertical="center"/>
    </xf>
    <xf numFmtId="166" fontId="3" fillId="0" borderId="42" xfId="1" applyNumberFormat="1" applyFont="1" applyBorder="1" applyAlignment="1">
      <alignment vertical="center"/>
    </xf>
    <xf numFmtId="167" fontId="3" fillId="0" borderId="28" xfId="1" applyNumberFormat="1" applyFont="1" applyBorder="1" applyAlignment="1">
      <alignment horizontal="center" vertical="center"/>
    </xf>
    <xf numFmtId="166" fontId="3" fillId="0" borderId="44" xfId="1" applyNumberFormat="1" applyFont="1" applyBorder="1" applyAlignment="1">
      <alignment vertical="center"/>
    </xf>
    <xf numFmtId="0" fontId="10" fillId="0" borderId="0" xfId="1" applyFont="1" applyAlignment="1">
      <alignment horizontal="center" vertical="center"/>
    </xf>
    <xf numFmtId="0" fontId="10" fillId="0" borderId="0" xfId="1" applyFont="1" applyAlignment="1">
      <alignment vertical="center"/>
    </xf>
    <xf numFmtId="166" fontId="10" fillId="0" borderId="49" xfId="1" applyNumberFormat="1" applyFont="1" applyBorder="1" applyAlignment="1">
      <alignment vertical="center"/>
    </xf>
    <xf numFmtId="0" fontId="12" fillId="0" borderId="0" xfId="1" applyFont="1" applyAlignment="1">
      <alignment horizontal="center" vertical="center"/>
    </xf>
    <xf numFmtId="166" fontId="10" fillId="0" borderId="0" xfId="1" applyNumberFormat="1" applyFont="1" applyAlignment="1">
      <alignment horizontal="center" vertical="center"/>
    </xf>
    <xf numFmtId="166" fontId="12" fillId="0" borderId="0" xfId="1" applyNumberFormat="1" applyFont="1" applyAlignment="1">
      <alignment horizontal="center" vertical="center"/>
    </xf>
    <xf numFmtId="166" fontId="10" fillId="0" borderId="0" xfId="1" applyNumberFormat="1" applyFont="1" applyAlignment="1">
      <alignment vertical="center"/>
    </xf>
    <xf numFmtId="0" fontId="3" fillId="0" borderId="77" xfId="1" applyFont="1" applyBorder="1" applyAlignment="1">
      <alignment vertical="center"/>
    </xf>
    <xf numFmtId="0" fontId="3" fillId="0" borderId="73" xfId="1" applyFont="1" applyBorder="1" applyAlignment="1">
      <alignment vertical="center"/>
    </xf>
    <xf numFmtId="0" fontId="3" fillId="0" borderId="78" xfId="1" applyFont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54" xfId="1" applyFont="1" applyBorder="1" applyAlignment="1">
      <alignment vertical="center"/>
    </xf>
    <xf numFmtId="166" fontId="3" fillId="0" borderId="0" xfId="1" applyNumberFormat="1" applyFont="1" applyAlignment="1">
      <alignment vertical="center"/>
    </xf>
    <xf numFmtId="0" fontId="6" fillId="0" borderId="32" xfId="1" applyFont="1" applyBorder="1" applyAlignment="1">
      <alignment vertical="center"/>
    </xf>
    <xf numFmtId="0" fontId="6" fillId="0" borderId="33" xfId="1" applyFont="1" applyBorder="1" applyAlignment="1">
      <alignment vertical="center"/>
    </xf>
    <xf numFmtId="166" fontId="6" fillId="0" borderId="34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0" fontId="11" fillId="0" borderId="19" xfId="1" applyFont="1" applyBorder="1" applyAlignment="1">
      <alignment vertical="center"/>
    </xf>
    <xf numFmtId="166" fontId="11" fillId="0" borderId="48" xfId="1" applyNumberFormat="1" applyFont="1" applyBorder="1" applyAlignment="1">
      <alignment vertical="center"/>
    </xf>
    <xf numFmtId="0" fontId="11" fillId="0" borderId="56" xfId="1" applyFont="1" applyBorder="1" applyAlignment="1">
      <alignment horizontal="center" vertical="center"/>
    </xf>
    <xf numFmtId="168" fontId="11" fillId="0" borderId="20" xfId="1" applyNumberFormat="1" applyFont="1" applyBorder="1" applyAlignment="1">
      <alignment horizontal="center" vertical="center"/>
    </xf>
    <xf numFmtId="0" fontId="11" fillId="0" borderId="26" xfId="1" applyFont="1" applyBorder="1" applyAlignment="1">
      <alignment vertical="center"/>
    </xf>
    <xf numFmtId="0" fontId="11" fillId="0" borderId="27" xfId="1" applyFont="1" applyBorder="1" applyAlignment="1">
      <alignment vertical="center"/>
    </xf>
    <xf numFmtId="166" fontId="11" fillId="0" borderId="43" xfId="1" applyNumberFormat="1" applyFont="1" applyBorder="1" applyAlignment="1">
      <alignment vertical="center"/>
    </xf>
    <xf numFmtId="0" fontId="2" fillId="0" borderId="0" xfId="1"/>
    <xf numFmtId="0" fontId="3" fillId="0" borderId="26" xfId="1" applyFont="1" applyBorder="1" applyAlignment="1">
      <alignment horizontal="centerContinuous" vertical="center"/>
    </xf>
    <xf numFmtId="0" fontId="3" fillId="0" borderId="27" xfId="1" applyFont="1" applyBorder="1" applyAlignment="1">
      <alignment horizontal="centerContinuous" vertical="center"/>
    </xf>
    <xf numFmtId="166" fontId="3" fillId="0" borderId="43" xfId="1" applyNumberFormat="1" applyFont="1" applyBorder="1" applyAlignment="1">
      <alignment vertical="center"/>
    </xf>
    <xf numFmtId="168" fontId="11" fillId="0" borderId="0" xfId="1" applyNumberFormat="1" applyFont="1" applyAlignment="1">
      <alignment horizontal="center" vertical="center"/>
    </xf>
    <xf numFmtId="166" fontId="3" fillId="9" borderId="46" xfId="1" applyNumberFormat="1" applyFont="1" applyFill="1" applyBorder="1" applyAlignment="1">
      <alignment vertical="center"/>
    </xf>
    <xf numFmtId="0" fontId="11" fillId="0" borderId="36" xfId="1" applyFont="1" applyBorder="1" applyAlignment="1">
      <alignment vertical="center"/>
    </xf>
    <xf numFmtId="10" fontId="11" fillId="0" borderId="14" xfId="1" applyNumberFormat="1" applyFont="1" applyBorder="1" applyAlignment="1">
      <alignment vertical="center"/>
    </xf>
    <xf numFmtId="10" fontId="11" fillId="0" borderId="19" xfId="1" applyNumberFormat="1" applyFont="1" applyBorder="1" applyAlignment="1">
      <alignment vertical="center"/>
    </xf>
    <xf numFmtId="0" fontId="8" fillId="0" borderId="57" xfId="1" applyFont="1" applyBorder="1" applyAlignment="1">
      <alignment vertical="center"/>
    </xf>
    <xf numFmtId="0" fontId="6" fillId="0" borderId="58" xfId="1" applyFont="1" applyBorder="1" applyAlignment="1">
      <alignment vertical="center"/>
    </xf>
    <xf numFmtId="0" fontId="3" fillId="0" borderId="58" xfId="1" applyFont="1" applyBorder="1" applyAlignment="1">
      <alignment vertical="center"/>
    </xf>
    <xf numFmtId="0" fontId="7" fillId="0" borderId="58" xfId="1" applyFont="1" applyBorder="1" applyAlignment="1">
      <alignment vertical="center"/>
    </xf>
    <xf numFmtId="9" fontId="7" fillId="0" borderId="58" xfId="1" applyNumberFormat="1" applyFont="1" applyBorder="1" applyAlignment="1">
      <alignment horizontal="left" vertical="center"/>
    </xf>
    <xf numFmtId="166" fontId="8" fillId="0" borderId="59" xfId="1" applyNumberFormat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9" fontId="11" fillId="0" borderId="12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0" fontId="11" fillId="0" borderId="20" xfId="1" applyFont="1" applyBorder="1" applyAlignment="1">
      <alignment vertical="center"/>
    </xf>
    <xf numFmtId="166" fontId="11" fillId="0" borderId="25" xfId="1" applyNumberFormat="1" applyFont="1" applyBorder="1" applyAlignment="1">
      <alignment vertical="center"/>
    </xf>
    <xf numFmtId="0" fontId="11" fillId="0" borderId="60" xfId="1" applyFont="1" applyBorder="1" applyAlignment="1">
      <alignment horizontal="center" vertical="center"/>
    </xf>
    <xf numFmtId="10" fontId="11" fillId="0" borderId="61" xfId="1" applyNumberFormat="1" applyFont="1" applyBorder="1" applyAlignment="1">
      <alignment horizontal="center" vertical="center"/>
    </xf>
    <xf numFmtId="0" fontId="11" fillId="0" borderId="29" xfId="1" applyFont="1" applyBorder="1" applyAlignment="1">
      <alignment vertical="center"/>
    </xf>
    <xf numFmtId="166" fontId="11" fillId="0" borderId="28" xfId="1" applyNumberFormat="1" applyFont="1" applyBorder="1" applyAlignment="1">
      <alignment vertical="center"/>
    </xf>
    <xf numFmtId="10" fontId="11" fillId="0" borderId="20" xfId="1" applyNumberFormat="1" applyFont="1" applyBorder="1" applyAlignment="1">
      <alignment horizontal="center" vertical="center"/>
    </xf>
    <xf numFmtId="0" fontId="3" fillId="0" borderId="29" xfId="1" applyFont="1" applyBorder="1" applyAlignment="1">
      <alignment vertical="center"/>
    </xf>
    <xf numFmtId="166" fontId="3" fillId="0" borderId="28" xfId="1" applyNumberFormat="1" applyFont="1" applyBorder="1" applyAlignment="1">
      <alignment vertical="center"/>
    </xf>
    <xf numFmtId="0" fontId="11" fillId="0" borderId="62" xfId="1" applyFont="1" applyBorder="1" applyAlignment="1">
      <alignment horizontal="center" vertical="center"/>
    </xf>
    <xf numFmtId="10" fontId="11" fillId="0" borderId="63" xfId="1" applyNumberFormat="1" applyFont="1" applyBorder="1" applyAlignment="1">
      <alignment horizontal="center" vertical="center"/>
    </xf>
    <xf numFmtId="0" fontId="13" fillId="0" borderId="64" xfId="1" applyFont="1" applyBorder="1" applyAlignment="1">
      <alignment vertical="center"/>
    </xf>
    <xf numFmtId="0" fontId="13" fillId="0" borderId="65" xfId="1" applyFont="1" applyBorder="1" applyAlignment="1">
      <alignment vertical="center"/>
    </xf>
    <xf numFmtId="0" fontId="14" fillId="0" borderId="16" xfId="1" applyFont="1" applyBorder="1" applyAlignment="1">
      <alignment vertical="center"/>
    </xf>
    <xf numFmtId="0" fontId="14" fillId="0" borderId="0" xfId="1" applyFont="1" applyAlignment="1">
      <alignment vertical="center"/>
    </xf>
    <xf numFmtId="168" fontId="14" fillId="0" borderId="17" xfId="1" applyNumberFormat="1" applyFont="1" applyBorder="1" applyAlignment="1">
      <alignment horizontal="center" vertical="center"/>
    </xf>
    <xf numFmtId="0" fontId="14" fillId="0" borderId="18" xfId="1" applyFont="1" applyBorder="1" applyAlignment="1">
      <alignment vertical="center"/>
    </xf>
    <xf numFmtId="0" fontId="14" fillId="0" borderId="19" xfId="1" applyFont="1" applyBorder="1" applyAlignment="1">
      <alignment vertical="center"/>
    </xf>
    <xf numFmtId="168" fontId="14" fillId="0" borderId="25" xfId="1" applyNumberFormat="1" applyFont="1" applyBorder="1" applyAlignment="1">
      <alignment horizontal="center" vertical="center"/>
    </xf>
    <xf numFmtId="166" fontId="3" fillId="0" borderId="49" xfId="1" applyNumberFormat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166" fontId="3" fillId="0" borderId="69" xfId="1" applyNumberFormat="1" applyFont="1" applyBorder="1" applyAlignment="1">
      <alignment vertical="center"/>
    </xf>
    <xf numFmtId="0" fontId="14" fillId="0" borderId="53" xfId="1" applyFont="1" applyBorder="1" applyAlignment="1">
      <alignment vertical="center"/>
    </xf>
    <xf numFmtId="0" fontId="14" fillId="0" borderId="54" xfId="1" applyFont="1" applyBorder="1" applyAlignment="1">
      <alignment vertical="center"/>
    </xf>
    <xf numFmtId="168" fontId="14" fillId="0" borderId="67" xfId="1" applyNumberFormat="1" applyFont="1" applyBorder="1" applyAlignment="1">
      <alignment horizontal="center" vertical="center"/>
    </xf>
    <xf numFmtId="166" fontId="13" fillId="9" borderId="66" xfId="1" applyNumberFormat="1" applyFont="1" applyFill="1" applyBorder="1" applyAlignment="1">
      <alignment vertical="center"/>
    </xf>
    <xf numFmtId="0" fontId="3" fillId="0" borderId="68" xfId="1" applyFont="1" applyBorder="1" applyAlignment="1">
      <alignment vertical="center"/>
    </xf>
    <xf numFmtId="0" fontId="15" fillId="0" borderId="4" xfId="1" applyFont="1" applyBorder="1" applyAlignment="1">
      <alignment vertical="center"/>
    </xf>
    <xf numFmtId="0" fontId="6" fillId="0" borderId="9" xfId="1" applyFont="1" applyBorder="1" applyAlignment="1">
      <alignment horizontal="centerContinuous" vertical="center"/>
    </xf>
    <xf numFmtId="0" fontId="6" fillId="0" borderId="0" xfId="1" applyFont="1" applyAlignment="1">
      <alignment vertical="center"/>
    </xf>
    <xf numFmtId="0" fontId="3" fillId="0" borderId="47" xfId="1" applyFont="1" applyBorder="1" applyAlignment="1">
      <alignment vertical="center"/>
    </xf>
    <xf numFmtId="0" fontId="3" fillId="0" borderId="23" xfId="1" applyFont="1" applyBorder="1" applyAlignment="1">
      <alignment vertical="center"/>
    </xf>
    <xf numFmtId="173" fontId="3" fillId="0" borderId="0" xfId="1" applyNumberFormat="1" applyFont="1" applyAlignment="1">
      <alignment vertical="center"/>
    </xf>
    <xf numFmtId="9" fontId="19" fillId="0" borderId="0" xfId="5" applyFont="1" applyFill="1" applyProtection="1"/>
    <xf numFmtId="0" fontId="19" fillId="11" borderId="0" xfId="0" applyFont="1" applyFill="1" applyAlignment="1" applyProtection="1">
      <alignment horizontal="left"/>
      <protection locked="0"/>
    </xf>
    <xf numFmtId="0" fontId="19" fillId="7" borderId="70" xfId="0" applyFont="1" applyFill="1" applyBorder="1" applyAlignment="1" applyProtection="1">
      <alignment wrapText="1"/>
      <protection locked="0"/>
    </xf>
    <xf numFmtId="0" fontId="19" fillId="12" borderId="0" xfId="0" applyFont="1" applyFill="1"/>
    <xf numFmtId="1" fontId="19" fillId="7" borderId="0" xfId="0" applyNumberFormat="1" applyFont="1" applyFill="1" applyProtection="1">
      <protection locked="0"/>
    </xf>
    <xf numFmtId="0" fontId="0" fillId="14" borderId="0" xfId="0" applyFill="1"/>
    <xf numFmtId="0" fontId="13" fillId="0" borderId="0" xfId="1" applyFont="1" applyAlignment="1">
      <alignment horizontal="left" vertical="center"/>
    </xf>
    <xf numFmtId="0" fontId="0" fillId="14" borderId="0" xfId="0" applyFill="1" applyAlignment="1">
      <alignment wrapText="1"/>
    </xf>
    <xf numFmtId="1" fontId="19" fillId="12" borderId="0" xfId="0" applyNumberFormat="1" applyFont="1" applyFill="1" applyProtection="1">
      <protection locked="0"/>
    </xf>
    <xf numFmtId="0" fontId="16" fillId="0" borderId="0" xfId="0" applyFont="1"/>
    <xf numFmtId="0" fontId="19" fillId="0" borderId="0" xfId="0" applyFont="1"/>
    <xf numFmtId="0" fontId="5" fillId="0" borderId="0" xfId="0" applyFont="1"/>
    <xf numFmtId="0" fontId="25" fillId="0" borderId="0" xfId="0" applyFont="1"/>
    <xf numFmtId="169" fontId="19" fillId="0" borderId="0" xfId="0" applyNumberFormat="1" applyFont="1"/>
    <xf numFmtId="171" fontId="19" fillId="0" borderId="0" xfId="0" applyNumberFormat="1" applyFont="1"/>
    <xf numFmtId="0" fontId="19" fillId="9" borderId="0" xfId="0" applyFont="1" applyFill="1" applyAlignment="1">
      <alignment horizontal="left"/>
    </xf>
    <xf numFmtId="169" fontId="16" fillId="0" borderId="0" xfId="0" applyNumberFormat="1" applyFont="1"/>
    <xf numFmtId="14" fontId="16" fillId="0" borderId="0" xfId="0" applyNumberFormat="1" applyFont="1"/>
    <xf numFmtId="0" fontId="25" fillId="0" borderId="70" xfId="0" applyFont="1" applyBorder="1"/>
    <xf numFmtId="0" fontId="19" fillId="0" borderId="70" xfId="0" applyFont="1" applyBorder="1"/>
    <xf numFmtId="0" fontId="19" fillId="0" borderId="0" xfId="0" applyFont="1" applyAlignment="1">
      <alignment horizontal="left"/>
    </xf>
    <xf numFmtId="170" fontId="5" fillId="0" borderId="0" xfId="0" applyNumberFormat="1" applyFont="1" applyAlignment="1">
      <alignment horizontal="left" wrapText="1"/>
    </xf>
    <xf numFmtId="169" fontId="5" fillId="0" borderId="0" xfId="0" applyNumberFormat="1" applyFont="1"/>
    <xf numFmtId="170" fontId="16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49" fontId="34" fillId="0" borderId="0" xfId="3" applyNumberFormat="1" applyFont="1" applyAlignment="1">
      <alignment horizontal="left"/>
    </xf>
    <xf numFmtId="49" fontId="37" fillId="0" borderId="0" xfId="3" applyNumberFormat="1" applyFont="1" applyAlignment="1">
      <alignment horizontal="left"/>
    </xf>
    <xf numFmtId="49" fontId="16" fillId="0" borderId="0" xfId="3" quotePrefix="1" applyNumberFormat="1" applyFont="1" applyAlignment="1">
      <alignment horizontal="left"/>
    </xf>
    <xf numFmtId="49" fontId="5" fillId="0" borderId="70" xfId="3" quotePrefix="1" applyNumberFormat="1" applyFont="1" applyBorder="1"/>
    <xf numFmtId="0" fontId="19" fillId="0" borderId="0" xfId="0" applyFont="1" applyAlignment="1">
      <alignment wrapText="1"/>
    </xf>
    <xf numFmtId="49" fontId="16" fillId="0" borderId="0" xfId="3" applyNumberFormat="1" applyFont="1" applyAlignment="1">
      <alignment horizontal="left"/>
    </xf>
    <xf numFmtId="49" fontId="16" fillId="0" borderId="0" xfId="3" quotePrefix="1" applyNumberFormat="1" applyFont="1"/>
    <xf numFmtId="49" fontId="16" fillId="0" borderId="0" xfId="0" applyNumberFormat="1" applyFont="1"/>
    <xf numFmtId="49" fontId="5" fillId="0" borderId="70" xfId="0" applyNumberFormat="1" applyFont="1" applyBorder="1"/>
    <xf numFmtId="0" fontId="0" fillId="0" borderId="0" xfId="0" applyAlignment="1">
      <alignment wrapText="1"/>
    </xf>
    <xf numFmtId="0" fontId="37" fillId="0" borderId="0" xfId="0" applyFont="1"/>
    <xf numFmtId="44" fontId="16" fillId="0" borderId="0" xfId="0" applyNumberFormat="1" applyFont="1" applyAlignment="1">
      <alignment horizontal="left"/>
    </xf>
    <xf numFmtId="1" fontId="19" fillId="12" borderId="0" xfId="0" applyNumberFormat="1" applyFont="1" applyFill="1"/>
    <xf numFmtId="0" fontId="16" fillId="0" borderId="0" xfId="0" applyFont="1" applyAlignment="1">
      <alignment wrapText="1"/>
    </xf>
    <xf numFmtId="0" fontId="5" fillId="0" borderId="70" xfId="0" applyFont="1" applyBorder="1"/>
    <xf numFmtId="0" fontId="16" fillId="0" borderId="70" xfId="0" applyFont="1" applyBorder="1"/>
    <xf numFmtId="170" fontId="16" fillId="0" borderId="70" xfId="0" applyNumberFormat="1" applyFont="1" applyBorder="1" applyAlignment="1">
      <alignment horizontal="left"/>
    </xf>
    <xf numFmtId="49" fontId="16" fillId="0" borderId="70" xfId="0" applyNumberFormat="1" applyFont="1" applyBorder="1"/>
    <xf numFmtId="0" fontId="38" fillId="15" borderId="0" xfId="0" applyFont="1" applyFill="1"/>
    <xf numFmtId="0" fontId="16" fillId="6" borderId="0" xfId="0" applyFont="1" applyFill="1"/>
    <xf numFmtId="44" fontId="16" fillId="0" borderId="0" xfId="0" applyNumberFormat="1" applyFont="1"/>
    <xf numFmtId="0" fontId="19" fillId="9" borderId="0" xfId="0" applyFont="1" applyFill="1" applyAlignment="1">
      <alignment horizontal="right"/>
    </xf>
    <xf numFmtId="1" fontId="19" fillId="9" borderId="0" xfId="0" applyNumberFormat="1" applyFont="1" applyFill="1"/>
    <xf numFmtId="0" fontId="16" fillId="0" borderId="0" xfId="0" applyFont="1" applyAlignment="1">
      <alignment horizontal="center"/>
    </xf>
    <xf numFmtId="1" fontId="19" fillId="13" borderId="0" xfId="0" applyNumberFormat="1" applyFont="1" applyFill="1"/>
    <xf numFmtId="1" fontId="16" fillId="0" borderId="0" xfId="0" applyNumberFormat="1" applyFont="1"/>
    <xf numFmtId="49" fontId="18" fillId="0" borderId="0" xfId="0" applyNumberFormat="1" applyFont="1"/>
    <xf numFmtId="10" fontId="16" fillId="0" borderId="0" xfId="0" applyNumberFormat="1" applyFont="1"/>
    <xf numFmtId="9" fontId="0" fillId="0" borderId="0" xfId="0" applyNumberFormat="1"/>
    <xf numFmtId="0" fontId="0" fillId="14" borderId="0" xfId="0" applyFill="1" applyAlignment="1">
      <alignment horizontal="left"/>
    </xf>
    <xf numFmtId="0" fontId="20" fillId="14" borderId="71" xfId="0" applyFont="1" applyFill="1" applyBorder="1"/>
    <xf numFmtId="14" fontId="0" fillId="14" borderId="0" xfId="0" applyNumberFormat="1" applyFill="1"/>
    <xf numFmtId="0" fontId="20" fillId="17" borderId="0" xfId="0" applyFont="1" applyFill="1"/>
    <xf numFmtId="0" fontId="39" fillId="14" borderId="0" xfId="0" applyFont="1" applyFill="1"/>
    <xf numFmtId="0" fontId="0" fillId="14" borderId="0" xfId="0" applyFill="1" applyAlignment="1">
      <alignment horizontal="center"/>
    </xf>
    <xf numFmtId="0" fontId="36" fillId="14" borderId="0" xfId="0" applyFont="1" applyFill="1"/>
    <xf numFmtId="0" fontId="35" fillId="0" borderId="0" xfId="0" applyFont="1"/>
    <xf numFmtId="0" fontId="35" fillId="14" borderId="0" xfId="0" applyFont="1" applyFill="1"/>
    <xf numFmtId="0" fontId="20" fillId="14" borderId="0" xfId="0" applyFont="1" applyFill="1"/>
    <xf numFmtId="49" fontId="21" fillId="0" borderId="0" xfId="0" quotePrefix="1" applyNumberFormat="1" applyFont="1" applyAlignment="1">
      <alignment horizontal="right" vertical="top" wrapText="1"/>
    </xf>
    <xf numFmtId="0" fontId="11" fillId="0" borderId="53" xfId="1" applyFont="1" applyBorder="1" applyAlignment="1">
      <alignment vertical="center"/>
    </xf>
    <xf numFmtId="166" fontId="11" fillId="9" borderId="40" xfId="1" applyNumberFormat="1" applyFont="1" applyFill="1" applyBorder="1" applyAlignment="1">
      <alignment vertical="center"/>
    </xf>
    <xf numFmtId="166" fontId="11" fillId="0" borderId="55" xfId="1" applyNumberFormat="1" applyFont="1" applyBorder="1" applyAlignment="1">
      <alignment vertical="center"/>
    </xf>
    <xf numFmtId="0" fontId="11" fillId="0" borderId="76" xfId="1" applyFont="1" applyBorder="1" applyAlignment="1">
      <alignment vertical="center"/>
    </xf>
    <xf numFmtId="172" fontId="1" fillId="0" borderId="5" xfId="0" applyNumberFormat="1" applyFont="1" applyBorder="1"/>
    <xf numFmtId="172" fontId="1" fillId="0" borderId="0" xfId="0" applyNumberFormat="1" applyFont="1"/>
    <xf numFmtId="0" fontId="1" fillId="0" borderId="0" xfId="0" applyFont="1"/>
    <xf numFmtId="0" fontId="26" fillId="0" borderId="0" xfId="0" applyFont="1" applyAlignment="1">
      <alignment horizontal="right"/>
    </xf>
    <xf numFmtId="0" fontId="0" fillId="14" borderId="0" xfId="0" applyFill="1" applyAlignment="1">
      <alignment horizontal="center" vertical="center"/>
    </xf>
    <xf numFmtId="44" fontId="16" fillId="0" borderId="0" xfId="4" applyFont="1"/>
    <xf numFmtId="43" fontId="0" fillId="9" borderId="0" xfId="6" applyFont="1" applyFill="1" applyProtection="1"/>
    <xf numFmtId="43" fontId="0" fillId="18" borderId="0" xfId="6" applyFont="1" applyFill="1" applyProtection="1"/>
    <xf numFmtId="0" fontId="20" fillId="14" borderId="64" xfId="0" applyFont="1" applyFill="1" applyBorder="1" applyAlignment="1">
      <alignment horizontal="center"/>
    </xf>
    <xf numFmtId="0" fontId="20" fillId="14" borderId="66" xfId="0" applyFont="1" applyFill="1" applyBorder="1" applyAlignment="1">
      <alignment horizontal="center"/>
    </xf>
    <xf numFmtId="0" fontId="0" fillId="14" borderId="0" xfId="0" applyFill="1" applyAlignment="1">
      <alignment horizontal="left"/>
    </xf>
    <xf numFmtId="0" fontId="35" fillId="14" borderId="0" xfId="0" applyFont="1" applyFill="1" applyAlignment="1">
      <alignment horizontal="center" vertical="center"/>
    </xf>
    <xf numFmtId="0" fontId="35" fillId="7" borderId="0" xfId="0" applyFont="1" applyFill="1" applyAlignment="1" applyProtection="1">
      <alignment horizontal="left"/>
      <protection locked="0"/>
    </xf>
    <xf numFmtId="0" fontId="0" fillId="14" borderId="0" xfId="0" applyFill="1" applyAlignment="1">
      <alignment horizontal="center"/>
    </xf>
    <xf numFmtId="0" fontId="35" fillId="16" borderId="0" xfId="0" applyFont="1" applyFill="1" applyAlignment="1">
      <alignment horizontal="center"/>
    </xf>
    <xf numFmtId="0" fontId="35" fillId="9" borderId="0" xfId="0" applyFont="1" applyFill="1" applyAlignment="1">
      <alignment horizontal="left"/>
    </xf>
    <xf numFmtId="0" fontId="20" fillId="14" borderId="0" xfId="0" applyFont="1" applyFill="1" applyAlignment="1">
      <alignment horizontal="left"/>
    </xf>
    <xf numFmtId="0" fontId="20" fillId="14" borderId="32" xfId="0" applyFont="1" applyFill="1" applyBorder="1" applyAlignment="1">
      <alignment horizontal="center"/>
    </xf>
    <xf numFmtId="0" fontId="20" fillId="14" borderId="33" xfId="0" applyFont="1" applyFill="1" applyBorder="1" applyAlignment="1">
      <alignment horizontal="center"/>
    </xf>
    <xf numFmtId="0" fontId="20" fillId="14" borderId="34" xfId="0" applyFont="1" applyFill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3" fillId="0" borderId="9" xfId="1" applyFont="1" applyBorder="1" applyAlignment="1">
      <alignment vertical="top" wrapText="1"/>
    </xf>
    <xf numFmtId="0" fontId="2" fillId="0" borderId="10" xfId="1" applyBorder="1" applyAlignment="1">
      <alignment vertical="top"/>
    </xf>
    <xf numFmtId="0" fontId="2" fillId="0" borderId="11" xfId="1" applyBorder="1" applyAlignment="1">
      <alignment vertical="top"/>
    </xf>
    <xf numFmtId="0" fontId="2" fillId="0" borderId="16" xfId="1" applyBorder="1" applyAlignment="1">
      <alignment vertical="top"/>
    </xf>
    <xf numFmtId="0" fontId="2" fillId="0" borderId="0" xfId="1" applyAlignment="1">
      <alignment vertical="top"/>
    </xf>
    <xf numFmtId="0" fontId="2" fillId="0" borderId="17" xfId="1" applyBorder="1" applyAlignment="1">
      <alignment vertical="top"/>
    </xf>
    <xf numFmtId="0" fontId="2" fillId="0" borderId="47" xfId="1" applyBorder="1" applyAlignment="1">
      <alignment vertical="top"/>
    </xf>
    <xf numFmtId="0" fontId="2" fillId="0" borderId="22" xfId="1" applyBorder="1" applyAlignment="1">
      <alignment vertical="top"/>
    </xf>
    <xf numFmtId="0" fontId="2" fillId="0" borderId="23" xfId="1" applyBorder="1" applyAlignment="1">
      <alignment vertical="top"/>
    </xf>
    <xf numFmtId="0" fontId="10" fillId="0" borderId="32" xfId="1" applyFont="1" applyBorder="1" applyAlignment="1">
      <alignment horizontal="center" vertical="center"/>
    </xf>
    <xf numFmtId="0" fontId="12" fillId="0" borderId="33" xfId="1" applyFont="1" applyBorder="1" applyAlignment="1">
      <alignment horizontal="center" vertical="center"/>
    </xf>
    <xf numFmtId="0" fontId="12" fillId="0" borderId="34" xfId="1" applyFont="1" applyBorder="1" applyAlignment="1">
      <alignment horizontal="center" vertical="center"/>
    </xf>
    <xf numFmtId="166" fontId="10" fillId="0" borderId="32" xfId="1" applyNumberFormat="1" applyFont="1" applyBorder="1" applyAlignment="1">
      <alignment horizontal="center" vertical="center"/>
    </xf>
    <xf numFmtId="166" fontId="12" fillId="0" borderId="34" xfId="1" applyNumberFormat="1" applyFont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 wrapText="1"/>
    </xf>
    <xf numFmtId="0" fontId="5" fillId="2" borderId="10" xfId="1" applyFont="1" applyFill="1" applyBorder="1" applyAlignment="1">
      <alignment horizontal="center" vertical="center" wrapText="1"/>
    </xf>
    <xf numFmtId="0" fontId="5" fillId="2" borderId="11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5" fillId="2" borderId="0" xfId="1" applyFont="1" applyFill="1" applyAlignment="1">
      <alignment horizontal="center" vertical="center" wrapText="1"/>
    </xf>
    <xf numFmtId="0" fontId="5" fillId="2" borderId="17" xfId="1" applyFont="1" applyFill="1" applyBorder="1" applyAlignment="1">
      <alignment horizontal="center" vertical="center" wrapText="1"/>
    </xf>
    <xf numFmtId="0" fontId="5" fillId="2" borderId="26" xfId="1" applyFont="1" applyFill="1" applyBorder="1" applyAlignment="1">
      <alignment horizontal="center" vertical="center" wrapText="1"/>
    </xf>
    <xf numFmtId="0" fontId="5" fillId="2" borderId="27" xfId="1" applyFont="1" applyFill="1" applyBorder="1" applyAlignment="1">
      <alignment horizontal="center" vertical="center" wrapText="1"/>
    </xf>
    <xf numFmtId="0" fontId="5" fillId="2" borderId="28" xfId="1" applyFont="1" applyFill="1" applyBorder="1" applyAlignment="1">
      <alignment horizontal="center" vertical="center" wrapText="1"/>
    </xf>
    <xf numFmtId="0" fontId="3" fillId="0" borderId="35" xfId="1" applyFont="1" applyBorder="1" applyAlignment="1">
      <alignment horizontal="center" vertical="center"/>
    </xf>
    <xf numFmtId="0" fontId="3" fillId="0" borderId="38" xfId="1" applyFont="1" applyBorder="1" applyAlignment="1">
      <alignment horizontal="center" vertical="center"/>
    </xf>
    <xf numFmtId="0" fontId="2" fillId="0" borderId="42" xfId="1" applyBorder="1" applyAlignment="1">
      <alignment vertical="center"/>
    </xf>
    <xf numFmtId="0" fontId="3" fillId="0" borderId="10" xfId="1" applyFont="1" applyBorder="1" applyAlignment="1">
      <alignment horizontal="center" vertical="center"/>
    </xf>
    <xf numFmtId="0" fontId="2" fillId="0" borderId="11" xfId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" fillId="0" borderId="17" xfId="1" applyBorder="1" applyAlignment="1">
      <alignment horizontal="center" vertical="center"/>
    </xf>
    <xf numFmtId="0" fontId="2" fillId="0" borderId="27" xfId="1" applyBorder="1" applyAlignment="1">
      <alignment horizontal="center" vertical="center"/>
    </xf>
    <xf numFmtId="0" fontId="2" fillId="0" borderId="28" xfId="1" applyBorder="1" applyAlignment="1">
      <alignment horizontal="center" vertical="center"/>
    </xf>
    <xf numFmtId="166" fontId="3" fillId="9" borderId="60" xfId="1" applyNumberFormat="1" applyFont="1" applyFill="1" applyBorder="1" applyAlignment="1">
      <alignment horizontal="left" vertical="center"/>
    </xf>
    <xf numFmtId="166" fontId="3" fillId="9" borderId="51" xfId="1" applyNumberFormat="1" applyFont="1" applyFill="1" applyBorder="1" applyAlignment="1">
      <alignment horizontal="left" vertical="center"/>
    </xf>
    <xf numFmtId="166" fontId="3" fillId="9" borderId="81" xfId="1" applyNumberFormat="1" applyFont="1" applyFill="1" applyBorder="1" applyAlignment="1">
      <alignment horizontal="left" vertical="center"/>
    </xf>
    <xf numFmtId="166" fontId="3" fillId="9" borderId="79" xfId="1" applyNumberFormat="1" applyFont="1" applyFill="1" applyBorder="1" applyAlignment="1">
      <alignment horizontal="left" vertical="center"/>
    </xf>
    <xf numFmtId="166" fontId="3" fillId="9" borderId="14" xfId="1" applyNumberFormat="1" applyFont="1" applyFill="1" applyBorder="1" applyAlignment="1">
      <alignment horizontal="left" vertical="center"/>
    </xf>
    <xf numFmtId="166" fontId="3" fillId="9" borderId="80" xfId="1" applyNumberFormat="1" applyFont="1" applyFill="1" applyBorder="1" applyAlignment="1">
      <alignment horizontal="left" vertical="center"/>
    </xf>
    <xf numFmtId="0" fontId="33" fillId="7" borderId="56" xfId="0" applyFont="1" applyFill="1" applyBorder="1" applyAlignment="1" applyProtection="1">
      <alignment horizontal="left"/>
      <protection locked="0"/>
    </xf>
    <xf numFmtId="0" fontId="33" fillId="7" borderId="19" xfId="0" applyFont="1" applyFill="1" applyBorder="1" applyAlignment="1" applyProtection="1">
      <alignment horizontal="left"/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166" fontId="3" fillId="9" borderId="36" xfId="1" applyNumberFormat="1" applyFont="1" applyFill="1" applyBorder="1" applyAlignment="1">
      <alignment horizontal="left" vertical="center"/>
    </xf>
    <xf numFmtId="166" fontId="3" fillId="9" borderId="82" xfId="1" applyNumberFormat="1" applyFont="1" applyFill="1" applyBorder="1" applyAlignment="1">
      <alignment horizontal="left" vertical="center"/>
    </xf>
    <xf numFmtId="0" fontId="33" fillId="7" borderId="24" xfId="0" applyFont="1" applyFill="1" applyBorder="1" applyAlignment="1" applyProtection="1">
      <alignment horizontal="left"/>
      <protection locked="0"/>
    </xf>
    <xf numFmtId="0" fontId="33" fillId="7" borderId="25" xfId="0" applyFont="1" applyFill="1" applyBorder="1" applyAlignment="1" applyProtection="1">
      <alignment horizontal="left"/>
      <protection locked="0"/>
    </xf>
    <xf numFmtId="166" fontId="3" fillId="9" borderId="54" xfId="1" applyNumberFormat="1" applyFont="1" applyFill="1" applyBorder="1" applyAlignment="1">
      <alignment horizontal="left" vertical="center"/>
    </xf>
    <xf numFmtId="0" fontId="6" fillId="0" borderId="37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9" fillId="0" borderId="44" xfId="1" applyFont="1" applyBorder="1" applyAlignment="1">
      <alignment horizontal="center" vertical="center"/>
    </xf>
    <xf numFmtId="0" fontId="3" fillId="0" borderId="39" xfId="1" applyFont="1" applyBorder="1" applyAlignment="1">
      <alignment horizontal="center" vertical="center"/>
    </xf>
    <xf numFmtId="0" fontId="2" fillId="0" borderId="42" xfId="1" applyBorder="1" applyAlignment="1">
      <alignment horizontal="center" vertical="center"/>
    </xf>
    <xf numFmtId="0" fontId="3" fillId="0" borderId="40" xfId="1" applyFont="1" applyBorder="1" applyAlignment="1">
      <alignment horizontal="center" vertical="center" wrapText="1"/>
    </xf>
    <xf numFmtId="0" fontId="2" fillId="0" borderId="43" xfId="1" applyBorder="1" applyAlignment="1">
      <alignment horizontal="center" vertical="center"/>
    </xf>
    <xf numFmtId="166" fontId="3" fillId="9" borderId="83" xfId="1" applyNumberFormat="1" applyFont="1" applyFill="1" applyBorder="1" applyAlignment="1">
      <alignment horizontal="left" vertical="center"/>
    </xf>
    <xf numFmtId="166" fontId="3" fillId="9" borderId="61" xfId="1" applyNumberFormat="1" applyFont="1" applyFill="1" applyBorder="1" applyAlignment="1">
      <alignment horizontal="left" vertical="center"/>
    </xf>
    <xf numFmtId="166" fontId="3" fillId="9" borderId="18" xfId="1" applyNumberFormat="1" applyFont="1" applyFill="1" applyBorder="1" applyAlignment="1">
      <alignment horizontal="left" vertical="center"/>
    </xf>
    <xf numFmtId="166" fontId="3" fillId="9" borderId="20" xfId="1" applyNumberFormat="1" applyFont="1" applyFill="1" applyBorder="1" applyAlignment="1">
      <alignment horizontal="left" vertical="center"/>
    </xf>
    <xf numFmtId="0" fontId="6" fillId="3" borderId="64" xfId="1" applyFont="1" applyFill="1" applyBorder="1" applyAlignment="1">
      <alignment horizontal="center" vertical="center"/>
    </xf>
    <xf numFmtId="0" fontId="6" fillId="3" borderId="65" xfId="1" applyFont="1" applyFill="1" applyBorder="1" applyAlignment="1">
      <alignment horizontal="center" vertical="center"/>
    </xf>
    <xf numFmtId="0" fontId="6" fillId="3" borderId="66" xfId="1" applyFont="1" applyFill="1" applyBorder="1" applyAlignment="1">
      <alignment horizontal="center" vertical="center"/>
    </xf>
    <xf numFmtId="0" fontId="6" fillId="0" borderId="64" xfId="1" applyFont="1" applyBorder="1" applyAlignment="1">
      <alignment horizontal="center" vertical="center"/>
    </xf>
    <xf numFmtId="0" fontId="6" fillId="0" borderId="65" xfId="1" applyFont="1" applyBorder="1" applyAlignment="1">
      <alignment horizontal="center" vertical="center"/>
    </xf>
    <xf numFmtId="0" fontId="6" fillId="0" borderId="66" xfId="1" applyFont="1" applyBorder="1" applyAlignment="1">
      <alignment horizontal="center" vertical="center"/>
    </xf>
    <xf numFmtId="0" fontId="19" fillId="7" borderId="0" xfId="0" applyFont="1" applyFill="1" applyAlignment="1" applyProtection="1">
      <alignment horizontal="left" vertical="top" wrapText="1"/>
      <protection locked="0"/>
    </xf>
    <xf numFmtId="0" fontId="19" fillId="7" borderId="0" xfId="0" applyFont="1" applyFill="1" applyAlignment="1" applyProtection="1">
      <alignment horizontal="left"/>
      <protection locked="0"/>
    </xf>
    <xf numFmtId="0" fontId="16" fillId="0" borderId="0" xfId="0" applyFont="1" applyAlignment="1">
      <alignment horizontal="left"/>
    </xf>
    <xf numFmtId="0" fontId="5" fillId="0" borderId="64" xfId="0" applyFont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41" fillId="3" borderId="1" xfId="0" applyFont="1" applyFill="1" applyBorder="1" applyAlignment="1">
      <alignment horizontal="center" vertical="center" wrapText="1"/>
    </xf>
    <xf numFmtId="0" fontId="41" fillId="3" borderId="2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41" fillId="3" borderId="0" xfId="0" applyFont="1" applyFill="1" applyAlignment="1">
      <alignment horizontal="center" vertical="center" wrapText="1"/>
    </xf>
    <xf numFmtId="0" fontId="41" fillId="3" borderId="5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41" fillId="3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center" vertical="center" wrapText="1"/>
    </xf>
    <xf numFmtId="0" fontId="26" fillId="0" borderId="0" xfId="0" applyFont="1"/>
    <xf numFmtId="0" fontId="26" fillId="0" borderId="2" xfId="0" applyFont="1" applyBorder="1"/>
    <xf numFmtId="0" fontId="26" fillId="0" borderId="5" xfId="0" applyFont="1" applyBorder="1"/>
    <xf numFmtId="0" fontId="26" fillId="0" borderId="3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2" xfId="0" applyFont="1" applyBorder="1"/>
    <xf numFmtId="0" fontId="27" fillId="0" borderId="3" xfId="0" applyFont="1" applyBorder="1"/>
  </cellXfs>
  <cellStyles count="7">
    <cellStyle name="Komma" xfId="6" builtinId="3"/>
    <cellStyle name="Procent" xfId="5" builtinId="5"/>
    <cellStyle name="Procent 2" xfId="2" xr:uid="{2B356108-DDAA-4CE3-9E0E-DBD95E0657B7}"/>
    <cellStyle name="Standaard" xfId="0" builtinId="0"/>
    <cellStyle name="Standaard 3 2" xfId="1" xr:uid="{F680E6B1-DB9C-4B78-BDBA-B51924AA1136}"/>
    <cellStyle name="Standaard_Blad1" xfId="3" xr:uid="{541DFA90-ED5A-4786-8081-14DFED2F081C}"/>
    <cellStyle name="Valuta" xfId="4" builtin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C6C9FE"/>
      <color rgb="FFB4B8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20/07/relationships/rdRichValueWebImage" Target="richData/rdRichValueWebImag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29129</xdr:colOff>
      <xdr:row>0</xdr:row>
      <xdr:rowOff>0</xdr:rowOff>
    </xdr:from>
    <xdr:to>
      <xdr:col>11</xdr:col>
      <xdr:colOff>397565</xdr:colOff>
      <xdr:row>1</xdr:row>
      <xdr:rowOff>103024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DF73993-4ACB-4CD3-9111-76BF1F5A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9607" y="0"/>
          <a:ext cx="948219" cy="293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56902</xdr:colOff>
      <xdr:row>3</xdr:row>
      <xdr:rowOff>142451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694C53-2941-7DF0-E080-5C79B14A0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02706" cy="713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695325</xdr:colOff>
      <xdr:row>40</xdr:row>
      <xdr:rowOff>133350</xdr:rowOff>
    </xdr:from>
    <xdr:to>
      <xdr:col>7</xdr:col>
      <xdr:colOff>28575</xdr:colOff>
      <xdr:row>45</xdr:row>
      <xdr:rowOff>85725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E3DA17A-77AF-4400-88CD-800F1072DD0E}"/>
            </a:ext>
          </a:extLst>
        </xdr:cNvPr>
        <xdr:cNvSpPr>
          <a:spLocks noChangeShapeType="1"/>
        </xdr:cNvSpPr>
      </xdr:nvSpPr>
      <xdr:spPr bwMode="auto">
        <a:xfrm flipH="1" flipV="1">
          <a:off x="2162175" y="6115050"/>
          <a:ext cx="276225" cy="809625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47</xdr:row>
      <xdr:rowOff>104775</xdr:rowOff>
    </xdr:from>
    <xdr:to>
      <xdr:col>7</xdr:col>
      <xdr:colOff>38100</xdr:colOff>
      <xdr:row>49</xdr:row>
      <xdr:rowOff>114300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D9A48BB-BE0E-4719-84AE-1B37A60F9724}"/>
            </a:ext>
          </a:extLst>
        </xdr:cNvPr>
        <xdr:cNvSpPr>
          <a:spLocks noChangeShapeType="1"/>
        </xdr:cNvSpPr>
      </xdr:nvSpPr>
      <xdr:spPr bwMode="auto">
        <a:xfrm flipH="1">
          <a:off x="2181225" y="7286625"/>
          <a:ext cx="266700" cy="352425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50</xdr:row>
      <xdr:rowOff>104775</xdr:rowOff>
    </xdr:from>
    <xdr:to>
      <xdr:col>7</xdr:col>
      <xdr:colOff>38100</xdr:colOff>
      <xdr:row>58</xdr:row>
      <xdr:rowOff>104775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1DD68B3-9E16-41FE-8670-6C37912E6C3C}"/>
            </a:ext>
          </a:extLst>
        </xdr:cNvPr>
        <xdr:cNvSpPr>
          <a:spLocks noChangeShapeType="1"/>
        </xdr:cNvSpPr>
      </xdr:nvSpPr>
      <xdr:spPr bwMode="auto">
        <a:xfrm flipH="1">
          <a:off x="2190750" y="7800975"/>
          <a:ext cx="257175" cy="1371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54</xdr:row>
      <xdr:rowOff>85725</xdr:rowOff>
    </xdr:from>
    <xdr:to>
      <xdr:col>7</xdr:col>
      <xdr:colOff>47625</xdr:colOff>
      <xdr:row>64</xdr:row>
      <xdr:rowOff>123825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361F60E4-37C1-48AC-8902-F152EF09781D}"/>
            </a:ext>
          </a:extLst>
        </xdr:cNvPr>
        <xdr:cNvSpPr>
          <a:spLocks noChangeShapeType="1"/>
        </xdr:cNvSpPr>
      </xdr:nvSpPr>
      <xdr:spPr bwMode="auto">
        <a:xfrm flipH="1">
          <a:off x="2190750" y="8467725"/>
          <a:ext cx="266700" cy="1752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19050</xdr:colOff>
      <xdr:row>45</xdr:row>
      <xdr:rowOff>85725</xdr:rowOff>
    </xdr:from>
    <xdr:to>
      <xdr:col>7</xdr:col>
      <xdr:colOff>419100</xdr:colOff>
      <xdr:row>45</xdr:row>
      <xdr:rowOff>85725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9275BAF5-9CE9-4A69-B479-74EE46D14843}"/>
            </a:ext>
          </a:extLst>
        </xdr:cNvPr>
        <xdr:cNvSpPr>
          <a:spLocks noChangeShapeType="1"/>
        </xdr:cNvSpPr>
      </xdr:nvSpPr>
      <xdr:spPr bwMode="auto">
        <a:xfrm flipH="1">
          <a:off x="2428875" y="6924675"/>
          <a:ext cx="400050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28575</xdr:colOff>
      <xdr:row>47</xdr:row>
      <xdr:rowOff>95250</xdr:rowOff>
    </xdr:from>
    <xdr:to>
      <xdr:col>7</xdr:col>
      <xdr:colOff>419100</xdr:colOff>
      <xdr:row>47</xdr:row>
      <xdr:rowOff>95250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92F2884-51E2-4AC3-9DC9-3CFEDA67364D}"/>
            </a:ext>
          </a:extLst>
        </xdr:cNvPr>
        <xdr:cNvSpPr>
          <a:spLocks noChangeShapeType="1"/>
        </xdr:cNvSpPr>
      </xdr:nvSpPr>
      <xdr:spPr bwMode="auto">
        <a:xfrm flipH="1">
          <a:off x="2438400" y="7277100"/>
          <a:ext cx="390525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28575</xdr:colOff>
      <xdr:row>50</xdr:row>
      <xdr:rowOff>95250</xdr:rowOff>
    </xdr:from>
    <xdr:to>
      <xdr:col>7</xdr:col>
      <xdr:colOff>428625</xdr:colOff>
      <xdr:row>50</xdr:row>
      <xdr:rowOff>95250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864013C2-C48F-420F-A5F2-815EF0632F9B}"/>
            </a:ext>
          </a:extLst>
        </xdr:cNvPr>
        <xdr:cNvSpPr>
          <a:spLocks noChangeShapeType="1"/>
        </xdr:cNvSpPr>
      </xdr:nvSpPr>
      <xdr:spPr bwMode="auto">
        <a:xfrm flipH="1">
          <a:off x="2438400" y="7791450"/>
          <a:ext cx="400050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38100</xdr:colOff>
      <xdr:row>54</xdr:row>
      <xdr:rowOff>85725</xdr:rowOff>
    </xdr:from>
    <xdr:to>
      <xdr:col>7</xdr:col>
      <xdr:colOff>428625</xdr:colOff>
      <xdr:row>54</xdr:row>
      <xdr:rowOff>85725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7BE4402C-6FC4-4A69-86C6-1E1B1AD30662}"/>
            </a:ext>
          </a:extLst>
        </xdr:cNvPr>
        <xdr:cNvSpPr>
          <a:spLocks noChangeShapeType="1"/>
        </xdr:cNvSpPr>
      </xdr:nvSpPr>
      <xdr:spPr bwMode="auto">
        <a:xfrm flipH="1">
          <a:off x="2447925" y="8467725"/>
          <a:ext cx="390525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ashx"/><Relationship Id="rId1" Type="http://schemas.openxmlformats.org/officeDocument/2006/relationships/hyperlink" Target="https://barcode.tec-it.com/barcode.ashx?data=&amp;code=Code128&amp;dpi=96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B074-E7D4-4CAA-AAB3-74887CF54080}">
  <dimension ref="B1:M59"/>
  <sheetViews>
    <sheetView tabSelected="1" zoomScaleNormal="100" workbookViewId="0">
      <selection activeCell="G20" sqref="G20"/>
    </sheetView>
  </sheetViews>
  <sheetFormatPr defaultColWidth="9.140625" defaultRowHeight="15"/>
  <cols>
    <col min="1" max="1" width="9.140625" style="262"/>
    <col min="2" max="2" width="25.28515625" style="262" customWidth="1"/>
    <col min="3" max="3" width="11.28515625" style="262" bestFit="1" customWidth="1"/>
    <col min="4" max="6" width="9.140625" style="262"/>
    <col min="7" max="8" width="14.5703125" style="262" bestFit="1" customWidth="1"/>
    <col min="9" max="9" width="11.140625" style="262" bestFit="1" customWidth="1"/>
    <col min="10" max="10" width="38.85546875" style="262" bestFit="1" customWidth="1"/>
    <col min="11" max="16384" width="9.140625" style="262"/>
  </cols>
  <sheetData>
    <row r="1" spans="2:10" ht="15.75" thickBot="1"/>
    <row r="2" spans="2:10" ht="15.75" thickBot="1">
      <c r="B2" s="312" t="s">
        <v>0</v>
      </c>
    </row>
    <row r="3" spans="2:10">
      <c r="B3" s="262" t="s">
        <v>1</v>
      </c>
      <c r="C3" s="330" t="s">
        <v>2490</v>
      </c>
    </row>
    <row r="4" spans="2:10">
      <c r="B4" s="262" t="s">
        <v>2</v>
      </c>
      <c r="C4" s="313">
        <v>46237</v>
      </c>
    </row>
    <row r="5" spans="2:10" ht="15.75" thickBot="1"/>
    <row r="6" spans="2:10" ht="15.75" thickBot="1">
      <c r="B6" s="312" t="s">
        <v>1738</v>
      </c>
      <c r="C6" s="262">
        <v>2026</v>
      </c>
    </row>
    <row r="8" spans="2:10" ht="15.75" thickBot="1"/>
    <row r="9" spans="2:10" ht="15.75" thickBot="1">
      <c r="B9" s="312" t="s">
        <v>3</v>
      </c>
    </row>
    <row r="10" spans="2:10" ht="18">
      <c r="B10" s="107"/>
      <c r="C10" s="336" t="s">
        <v>1655</v>
      </c>
      <c r="D10" s="336"/>
      <c r="E10" s="336"/>
      <c r="F10" s="336"/>
      <c r="G10" s="336"/>
    </row>
    <row r="11" spans="2:10" ht="18">
      <c r="B11" s="108"/>
      <c r="C11" s="336" t="s">
        <v>4</v>
      </c>
      <c r="D11" s="336"/>
      <c r="E11" s="336"/>
      <c r="F11" s="336"/>
      <c r="G11" s="336"/>
    </row>
    <row r="12" spans="2:10" ht="18">
      <c r="B12" s="109"/>
      <c r="C12" s="336" t="s">
        <v>5</v>
      </c>
      <c r="D12" s="336"/>
      <c r="E12" s="336"/>
      <c r="F12" s="336"/>
      <c r="G12" s="336"/>
    </row>
    <row r="13" spans="2:10" ht="18">
      <c r="B13" s="110"/>
      <c r="C13" s="336" t="s">
        <v>6</v>
      </c>
      <c r="D13" s="336"/>
      <c r="E13" s="336"/>
      <c r="F13" s="336"/>
      <c r="G13" s="336"/>
      <c r="H13" s="262" t="s">
        <v>7</v>
      </c>
      <c r="I13" s="313">
        <v>45798</v>
      </c>
      <c r="J13" s="262" t="s">
        <v>8</v>
      </c>
    </row>
    <row r="14" spans="2:10" ht="18">
      <c r="B14" s="111"/>
      <c r="C14" s="336" t="s">
        <v>9</v>
      </c>
      <c r="D14" s="336"/>
      <c r="E14" s="336"/>
      <c r="F14" s="336"/>
      <c r="G14" s="336"/>
    </row>
    <row r="15" spans="2:10" ht="18">
      <c r="B15" s="260"/>
      <c r="C15" s="311" t="s">
        <v>1761</v>
      </c>
      <c r="D15" s="311"/>
      <c r="E15" s="311"/>
      <c r="F15" s="311"/>
      <c r="G15" s="311"/>
    </row>
    <row r="17" spans="2:13" ht="15.75" thickBot="1"/>
    <row r="18" spans="2:13" ht="15.75" thickBot="1">
      <c r="B18" s="312" t="s">
        <v>10</v>
      </c>
      <c r="C18" s="313">
        <v>46226</v>
      </c>
      <c r="M18" s="313"/>
    </row>
    <row r="20" spans="2:13" ht="15.75" thickBot="1"/>
    <row r="21" spans="2:13" ht="15.75" thickBot="1">
      <c r="B21" s="312" t="s">
        <v>11</v>
      </c>
      <c r="C21" s="262">
        <v>2026</v>
      </c>
    </row>
    <row r="23" spans="2:13" ht="15.75" thickBot="1"/>
    <row r="24" spans="2:13" ht="15.75" thickBot="1">
      <c r="B24" s="312" t="s">
        <v>12</v>
      </c>
      <c r="C24" s="262">
        <v>2026</v>
      </c>
    </row>
    <row r="26" spans="2:13" ht="15.75" thickBot="1"/>
    <row r="27" spans="2:13" ht="15.75" thickBot="1">
      <c r="B27" s="334" t="s">
        <v>6</v>
      </c>
      <c r="C27" s="335"/>
    </row>
    <row r="29" spans="2:13">
      <c r="B29" s="262" t="s">
        <v>2443</v>
      </c>
      <c r="C29" s="313">
        <v>46132</v>
      </c>
    </row>
    <row r="30" spans="2:13">
      <c r="B30" s="262" t="s">
        <v>2444</v>
      </c>
      <c r="C30" s="313">
        <v>45813</v>
      </c>
    </row>
    <row r="31" spans="2:13">
      <c r="B31" s="262" t="s">
        <v>2445</v>
      </c>
      <c r="C31" s="313">
        <v>45811</v>
      </c>
    </row>
    <row r="32" spans="2:13">
      <c r="B32" s="262" t="s">
        <v>2449</v>
      </c>
      <c r="C32" s="313">
        <v>45852</v>
      </c>
    </row>
    <row r="33" spans="2:3">
      <c r="B33" s="262" t="s">
        <v>2446</v>
      </c>
      <c r="C33" s="313">
        <v>46135</v>
      </c>
    </row>
    <row r="34" spans="2:3">
      <c r="B34" s="262" t="s">
        <v>2448</v>
      </c>
      <c r="C34" s="313">
        <v>46135</v>
      </c>
    </row>
    <row r="35" spans="2:3">
      <c r="B35" s="262" t="s">
        <v>240</v>
      </c>
      <c r="C35" s="313">
        <v>45813</v>
      </c>
    </row>
    <row r="36" spans="2:3">
      <c r="B36" s="262" t="s">
        <v>2450</v>
      </c>
      <c r="C36" s="313">
        <v>46090</v>
      </c>
    </row>
    <row r="37" spans="2:3">
      <c r="C37" s="313"/>
    </row>
    <row r="38" spans="2:3" ht="15.75" thickBot="1"/>
    <row r="39" spans="2:3" ht="15.75" thickBot="1">
      <c r="B39" s="312" t="s">
        <v>13</v>
      </c>
      <c r="C39" s="313">
        <v>45658</v>
      </c>
    </row>
    <row r="40" spans="2:3" ht="15.75" thickBot="1"/>
    <row r="41" spans="2:3" ht="15.75" thickBot="1">
      <c r="B41" s="312" t="s">
        <v>1824</v>
      </c>
    </row>
    <row r="42" spans="2:3">
      <c r="B42" s="262" t="s">
        <v>1825</v>
      </c>
    </row>
    <row r="43" spans="2:3">
      <c r="B43" s="262" t="s">
        <v>1827</v>
      </c>
    </row>
    <row r="44" spans="2:3">
      <c r="B44" s="262" t="s">
        <v>1834</v>
      </c>
    </row>
    <row r="45" spans="2:3">
      <c r="B45" s="262" t="s">
        <v>2264</v>
      </c>
    </row>
    <row r="46" spans="2:3">
      <c r="B46" s="262" t="s">
        <v>2265</v>
      </c>
    </row>
    <row r="47" spans="2:3">
      <c r="B47" s="262" t="s">
        <v>2268</v>
      </c>
    </row>
    <row r="48" spans="2:3">
      <c r="B48" s="262" t="s">
        <v>2321</v>
      </c>
    </row>
    <row r="49" spans="2:2">
      <c r="B49" s="262" t="s">
        <v>2325</v>
      </c>
    </row>
    <row r="50" spans="2:2">
      <c r="B50" s="262" t="s">
        <v>2402</v>
      </c>
    </row>
    <row r="51" spans="2:2">
      <c r="B51" s="262" t="s">
        <v>2403</v>
      </c>
    </row>
    <row r="52" spans="2:2">
      <c r="B52" s="262" t="s">
        <v>2405</v>
      </c>
    </row>
    <row r="53" spans="2:2">
      <c r="B53" s="262" t="s">
        <v>2440</v>
      </c>
    </row>
    <row r="54" spans="2:2">
      <c r="B54" s="262" t="s">
        <v>2473</v>
      </c>
    </row>
    <row r="55" spans="2:2">
      <c r="B55" s="262" t="s">
        <v>2474</v>
      </c>
    </row>
    <row r="56" spans="2:2">
      <c r="B56" s="262" t="s">
        <v>2475</v>
      </c>
    </row>
    <row r="57" spans="2:2">
      <c r="B57" s="262" t="s">
        <v>2476</v>
      </c>
    </row>
    <row r="58" spans="2:2">
      <c r="B58" s="262" t="s">
        <v>2489</v>
      </c>
    </row>
    <row r="59" spans="2:2">
      <c r="B59" s="262" t="s">
        <v>2491</v>
      </c>
    </row>
  </sheetData>
  <sheetProtection sheet="1" objects="1" scenarios="1"/>
  <mergeCells count="6">
    <mergeCell ref="B27:C27"/>
    <mergeCell ref="C10:G10"/>
    <mergeCell ref="C14:G14"/>
    <mergeCell ref="C11:G11"/>
    <mergeCell ref="C12:G12"/>
    <mergeCell ref="C13:G1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26192-81DF-4207-941B-A82250F14E5E}">
  <dimension ref="A1:L18"/>
  <sheetViews>
    <sheetView zoomScale="115" zoomScaleNormal="115" workbookViewId="0">
      <selection activeCell="M4" sqref="M4"/>
    </sheetView>
  </sheetViews>
  <sheetFormatPr defaultColWidth="8.7109375" defaultRowHeight="15"/>
  <cols>
    <col min="1" max="1" width="21.28515625" style="262" customWidth="1"/>
    <col min="2" max="2" width="8.7109375" style="262" customWidth="1"/>
    <col min="3" max="3" width="0.7109375" style="262" customWidth="1"/>
    <col min="4" max="4" width="8.7109375" style="262" customWidth="1"/>
    <col min="5" max="5" width="0.7109375" style="262" customWidth="1"/>
    <col min="6" max="6" width="8.7109375" style="262"/>
    <col min="7" max="7" width="0.7109375" style="262" customWidth="1"/>
    <col min="8" max="8" width="8.7109375" style="262"/>
    <col min="9" max="9" width="0.7109375" style="262" customWidth="1"/>
    <col min="10" max="10" width="10.85546875" style="262" customWidth="1"/>
    <col min="11" max="11" width="8.7109375" style="316" customWidth="1"/>
    <col min="12" max="12" width="6.28515625" style="262" customWidth="1"/>
    <col min="13" max="16384" width="8.7109375" style="262"/>
  </cols>
  <sheetData>
    <row r="1" spans="1:12">
      <c r="A1" s="317"/>
      <c r="B1" s="317"/>
      <c r="C1" s="317"/>
      <c r="D1" s="317"/>
      <c r="E1" s="317"/>
      <c r="F1" s="317"/>
      <c r="G1" s="317"/>
      <c r="I1" s="317"/>
      <c r="K1" s="262"/>
    </row>
    <row r="2" spans="1:12">
      <c r="A2" s="317"/>
      <c r="B2" s="317"/>
      <c r="C2" s="317"/>
      <c r="D2" s="337" t="s">
        <v>1838</v>
      </c>
      <c r="E2" s="337"/>
      <c r="F2" s="337"/>
      <c r="G2" s="337"/>
      <c r="H2" s="337"/>
      <c r="I2" s="337"/>
      <c r="J2" s="337"/>
      <c r="K2" s="262"/>
    </row>
    <row r="3" spans="1:12">
      <c r="A3" s="317"/>
      <c r="B3" s="317"/>
      <c r="C3" s="317"/>
      <c r="D3" s="337"/>
      <c r="E3" s="337"/>
      <c r="F3" s="337"/>
      <c r="G3" s="337"/>
      <c r="H3" s="337"/>
      <c r="I3" s="337"/>
      <c r="J3" s="337"/>
      <c r="K3" s="262"/>
    </row>
    <row r="4" spans="1:12">
      <c r="A4" s="317"/>
      <c r="B4" s="317"/>
      <c r="C4" s="317"/>
      <c r="D4" s="317"/>
      <c r="E4" s="317"/>
      <c r="F4" s="317"/>
      <c r="G4" s="317"/>
      <c r="I4" s="317"/>
      <c r="K4" s="262"/>
    </row>
    <row r="5" spans="1:12">
      <c r="A5" s="318" t="s">
        <v>1835</v>
      </c>
      <c r="B5" s="338"/>
      <c r="C5" s="338"/>
      <c r="D5" s="338"/>
      <c r="E5" s="338"/>
      <c r="F5" s="338"/>
      <c r="G5" s="338"/>
      <c r="H5" s="338"/>
      <c r="I5" s="338"/>
      <c r="J5" s="338"/>
      <c r="K5" s="338"/>
      <c r="L5" s="338"/>
    </row>
    <row r="6" spans="1:12" ht="4.5" customHeight="1"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</row>
    <row r="7" spans="1:12">
      <c r="A7" s="318" t="s">
        <v>1823</v>
      </c>
      <c r="B7" s="341" t="str">
        <f>IF('Quotation sheet'!J6&lt;&gt;0,'Quotation sheet'!J6,"")</f>
        <v/>
      </c>
      <c r="C7" s="341"/>
      <c r="D7" s="341"/>
      <c r="E7" s="341"/>
      <c r="F7" s="341"/>
      <c r="G7" s="341"/>
      <c r="H7" s="341"/>
      <c r="I7" s="341"/>
      <c r="J7" s="341"/>
      <c r="K7" s="341"/>
      <c r="L7" s="341"/>
    </row>
    <row r="8" spans="1:12" ht="4.5" customHeight="1">
      <c r="B8" s="339"/>
      <c r="C8" s="339"/>
      <c r="D8" s="339"/>
      <c r="E8" s="339"/>
      <c r="F8" s="339"/>
      <c r="G8" s="339"/>
      <c r="H8" s="339"/>
      <c r="I8" s="339"/>
      <c r="J8" s="339"/>
      <c r="K8" s="339"/>
      <c r="L8" s="339"/>
    </row>
    <row r="9" spans="1:12">
      <c r="A9" s="318" t="s">
        <v>1836</v>
      </c>
      <c r="B9" s="341" t="str">
        <f>IF('Quotation sheet'!J7&lt;&gt;0,'Quotation sheet'!J7,"")</f>
        <v xml:space="preserve"> ()</v>
      </c>
      <c r="C9" s="341"/>
      <c r="D9" s="341"/>
      <c r="E9" s="341"/>
      <c r="F9" s="341"/>
      <c r="G9" s="341"/>
      <c r="H9" s="341"/>
      <c r="I9" s="341"/>
      <c r="J9" s="341"/>
      <c r="K9" s="341"/>
      <c r="L9" s="341"/>
    </row>
    <row r="10" spans="1:12" ht="4.5" customHeight="1">
      <c r="B10" s="339"/>
      <c r="C10" s="339"/>
      <c r="D10" s="339"/>
      <c r="E10" s="339"/>
      <c r="F10" s="339"/>
      <c r="G10" s="339"/>
      <c r="H10" s="339"/>
      <c r="I10" s="339"/>
      <c r="J10" s="339"/>
      <c r="K10" s="339"/>
      <c r="L10" s="339"/>
    </row>
    <row r="11" spans="1:12">
      <c r="A11" s="318" t="s">
        <v>1837</v>
      </c>
      <c r="B11" s="338"/>
      <c r="C11" s="338"/>
      <c r="D11" s="338"/>
      <c r="E11" s="338"/>
      <c r="F11" s="338"/>
      <c r="G11" s="338"/>
      <c r="H11" s="338"/>
      <c r="I11" s="338"/>
      <c r="J11" s="338"/>
      <c r="K11" s="338"/>
      <c r="L11" s="338"/>
    </row>
    <row r="12" spans="1:12" ht="4.5" customHeight="1">
      <c r="B12" s="339"/>
      <c r="C12" s="339"/>
      <c r="D12" s="339"/>
      <c r="E12" s="339"/>
      <c r="F12" s="339"/>
      <c r="G12" s="339"/>
      <c r="H12" s="339"/>
      <c r="I12" s="339"/>
      <c r="J12" s="339"/>
      <c r="K12" s="339"/>
      <c r="L12" s="339"/>
    </row>
    <row r="13" spans="1:12">
      <c r="A13" s="319"/>
      <c r="B13" s="340" t="e" vm="1">
        <f>_xlfn.IMAGE("https://barcode.tec-it.com/barcode.ashx?data=" &amp; B11 &amp; "&amp;code=Code128&amp;dpi=96")</f>
        <v>#VALUE!</v>
      </c>
      <c r="C13" s="340"/>
      <c r="D13" s="340"/>
      <c r="E13" s="340"/>
      <c r="F13" s="340"/>
      <c r="G13" s="340"/>
      <c r="H13" s="340"/>
      <c r="I13" s="340"/>
      <c r="J13" s="340"/>
      <c r="K13" s="340"/>
      <c r="L13" s="340"/>
    </row>
    <row r="14" spans="1:12">
      <c r="A14" s="319"/>
      <c r="B14" s="340"/>
      <c r="C14" s="340"/>
      <c r="D14" s="340"/>
      <c r="E14" s="340"/>
      <c r="F14" s="340"/>
      <c r="G14" s="340"/>
      <c r="H14" s="340"/>
      <c r="I14" s="340"/>
      <c r="J14" s="340"/>
      <c r="K14" s="340"/>
      <c r="L14" s="340"/>
    </row>
    <row r="15" spans="1:12" ht="4.5" customHeight="1">
      <c r="B15" s="339"/>
      <c r="C15" s="339"/>
      <c r="D15" s="339"/>
      <c r="E15" s="339"/>
      <c r="F15" s="339"/>
      <c r="G15" s="339"/>
      <c r="H15" s="339"/>
      <c r="I15" s="339"/>
      <c r="J15" s="339"/>
      <c r="K15" s="339"/>
      <c r="L15" s="339"/>
    </row>
    <row r="16" spans="1:12">
      <c r="A16" s="343" t="s">
        <v>95</v>
      </c>
      <c r="B16" s="344"/>
      <c r="C16" s="344"/>
      <c r="D16" s="344"/>
      <c r="E16" s="344"/>
      <c r="F16" s="344"/>
      <c r="G16" s="344"/>
      <c r="H16" s="344"/>
      <c r="I16" s="344"/>
      <c r="J16" s="344"/>
      <c r="K16" s="344"/>
      <c r="L16" s="345"/>
    </row>
    <row r="17" spans="1:12">
      <c r="A17" s="320" t="s">
        <v>1774</v>
      </c>
      <c r="B17" s="342" t="s">
        <v>1773</v>
      </c>
      <c r="C17" s="342"/>
      <c r="D17" s="342"/>
      <c r="E17" s="342"/>
      <c r="F17" s="342"/>
      <c r="G17" s="342"/>
      <c r="H17" s="342"/>
      <c r="I17" s="342"/>
      <c r="J17" s="342"/>
      <c r="K17" s="320" t="s">
        <v>1775</v>
      </c>
      <c r="L17" s="320" t="s">
        <v>1772</v>
      </c>
    </row>
    <row r="18" spans="1:12">
      <c r="A18" s="262" t="str" cm="1">
        <f t="array" ref="A18">IFERROR(
  INDEX(
    _xlfn._xlws.SORT(
      _xlfn._xlws.FILTER(Calculatie!A32:E285, (INDEX(Calculatie!A32:E285,,1)&gt;0)*(INDEX(Calculatie!A32:E285,,3)&lt;&gt;"")),
      3,1
    ),
    ,3
  ),
"Geen materiaal")</f>
        <v>Geen materiaal</v>
      </c>
      <c r="B18" s="262" t="str" cm="1">
        <f t="array" ref="B18">IFERROR(
  INDEX(
    _xlfn._xlws.SORT(
      _xlfn._xlws.FILTER(Calculatie!A31:E326, (INDEX(Calculatie!A31:E326,,1)&gt;0)*(INDEX(Calculatie!A31:E326,,3)&lt;&gt;"")),
      3,1
    ),
    ,4
  ),
"")</f>
        <v/>
      </c>
      <c r="K18" s="316" t="str" cm="1">
        <f t="array" ref="K18">IFERROR(
  INDEX(
    _xlfn._xlws.SORT(
      _xlfn._xlws.FILTER(Calculatie!A31:E326, (INDEX(Calculatie!A31:E326,,1)&gt;0)*(INDEX(Calculatie!A31:E326,,3)&lt;&gt;"")),
      3,1
    ),
    ,5
  ),
"")</f>
        <v/>
      </c>
      <c r="L18" s="262" t="str" cm="1">
        <f t="array" ref="L18">IFERROR(
  INDEX(
    _xlfn._xlws.SORT(
      _xlfn._xlws.FILTER(Calculatie!A31:E326, (INDEX(Calculatie!A31:E326,,1)&gt;0)*(INDEX(Calculatie!A31:E326,,3)&lt;&gt;"")),
      3,1
    ),
    ,1
  ),
"")</f>
        <v/>
      </c>
    </row>
  </sheetData>
  <sheetProtection sheet="1" objects="1" scenarios="1"/>
  <mergeCells count="13">
    <mergeCell ref="B15:L15"/>
    <mergeCell ref="B17:J17"/>
    <mergeCell ref="A16:L16"/>
    <mergeCell ref="B11:L11"/>
    <mergeCell ref="B7:L7"/>
    <mergeCell ref="D2:J3"/>
    <mergeCell ref="B5:L5"/>
    <mergeCell ref="B6:L6"/>
    <mergeCell ref="B13:L14"/>
    <mergeCell ref="B9:L9"/>
    <mergeCell ref="B10:L10"/>
    <mergeCell ref="B8:L8"/>
    <mergeCell ref="B12:L12"/>
  </mergeCells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B9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6FEF-295E-4714-AB52-5B41FDBE46F9}">
  <dimension ref="A1:L23"/>
  <sheetViews>
    <sheetView zoomScale="130" zoomScaleNormal="130" workbookViewId="0">
      <pane ySplit="1" topLeftCell="A2" activePane="bottomLeft" state="frozen"/>
      <selection activeCell="B1" sqref="B1"/>
      <selection pane="bottomLeft" activeCell="D6" sqref="D6"/>
    </sheetView>
  </sheetViews>
  <sheetFormatPr defaultColWidth="9.140625" defaultRowHeight="15"/>
  <cols>
    <col min="1" max="1" width="46.7109375" style="262" bestFit="1" customWidth="1"/>
    <col min="2" max="2" width="18" style="262" customWidth="1"/>
    <col min="3" max="3" width="7.85546875" style="262" bestFit="1" customWidth="1"/>
    <col min="4" max="4" width="50.28515625" style="262" customWidth="1"/>
    <col min="5" max="16384" width="9.140625" style="262"/>
  </cols>
  <sheetData>
    <row r="1" spans="1:12">
      <c r="A1" s="314" t="s">
        <v>1779</v>
      </c>
      <c r="B1" s="314" t="s">
        <v>1780</v>
      </c>
      <c r="C1" s="314" t="s">
        <v>1775</v>
      </c>
      <c r="D1" s="314" t="s">
        <v>1789</v>
      </c>
    </row>
    <row r="2" spans="1:12">
      <c r="A2" s="262" t="s">
        <v>1719</v>
      </c>
      <c r="B2" s="332">
        <f>'Quotation sheet'!L21</f>
        <v>0</v>
      </c>
      <c r="C2" s="262" t="s">
        <v>1781</v>
      </c>
    </row>
    <row r="3" spans="1:12">
      <c r="A3" s="262" t="s">
        <v>1720</v>
      </c>
      <c r="B3" s="332">
        <f>'Quotation sheet'!L22</f>
        <v>0</v>
      </c>
      <c r="C3" s="262" t="s">
        <v>1781</v>
      </c>
    </row>
    <row r="4" spans="1:12">
      <c r="A4" s="262" t="s">
        <v>1721</v>
      </c>
      <c r="B4" s="332">
        <f>'Quotation sheet'!L23</f>
        <v>0</v>
      </c>
      <c r="C4" s="262" t="s">
        <v>1781</v>
      </c>
    </row>
    <row r="5" spans="1:12">
      <c r="A5" s="262" t="s">
        <v>1722</v>
      </c>
      <c r="B5" s="332">
        <f>'Quotation sheet'!L25</f>
        <v>0</v>
      </c>
      <c r="C5" s="262" t="s">
        <v>1781</v>
      </c>
    </row>
    <row r="6" spans="1:12">
      <c r="A6" s="262" t="s">
        <v>1723</v>
      </c>
      <c r="B6" s="332">
        <f>'Quotation sheet'!L26</f>
        <v>0</v>
      </c>
      <c r="C6" s="262" t="s">
        <v>1781</v>
      </c>
    </row>
    <row r="7" spans="1:12">
      <c r="A7" s="262" t="s">
        <v>1724</v>
      </c>
      <c r="B7" s="332">
        <f>'Quotation sheet'!L29</f>
        <v>0</v>
      </c>
      <c r="C7" s="262" t="s">
        <v>1781</v>
      </c>
    </row>
    <row r="8" spans="1:12" ht="4.5" customHeight="1">
      <c r="B8" s="339"/>
      <c r="C8" s="339"/>
      <c r="D8" s="339"/>
      <c r="E8" s="339"/>
      <c r="F8" s="339"/>
      <c r="G8" s="339"/>
      <c r="H8" s="339"/>
      <c r="I8" s="339"/>
      <c r="J8" s="339"/>
      <c r="K8" s="339"/>
      <c r="L8" s="339"/>
    </row>
    <row r="9" spans="1:12">
      <c r="A9" s="262" t="s">
        <v>1782</v>
      </c>
      <c r="B9" s="332">
        <f>SUM('Quotation sheet'!R38:R40)</f>
        <v>0</v>
      </c>
      <c r="C9" s="315" t="s">
        <v>1783</v>
      </c>
    </row>
    <row r="10" spans="1:12" ht="4.5" customHeight="1">
      <c r="B10" s="339"/>
      <c r="C10" s="339"/>
      <c r="D10" s="339"/>
      <c r="E10" s="339"/>
      <c r="F10" s="339"/>
      <c r="G10" s="339"/>
      <c r="H10" s="339"/>
      <c r="I10" s="339"/>
      <c r="J10" s="339"/>
      <c r="K10" s="339"/>
      <c r="L10" s="339"/>
    </row>
    <row r="11" spans="1:12">
      <c r="A11" s="262" t="s">
        <v>1784</v>
      </c>
      <c r="B11" s="332">
        <f>'Quotation sheet'!R46</f>
        <v>0</v>
      </c>
      <c r="C11" s="315" t="s">
        <v>1783</v>
      </c>
    </row>
    <row r="12" spans="1:12">
      <c r="A12" s="262" t="s">
        <v>1785</v>
      </c>
      <c r="B12" s="332">
        <f>'Quotation sheet'!R48</f>
        <v>0</v>
      </c>
      <c r="C12" s="315" t="s">
        <v>1783</v>
      </c>
    </row>
    <row r="13" spans="1:12">
      <c r="A13" s="262" t="s">
        <v>66</v>
      </c>
      <c r="B13" s="332">
        <f>'Quotation sheet'!E53</f>
        <v>0</v>
      </c>
      <c r="C13" s="315" t="s">
        <v>1783</v>
      </c>
    </row>
    <row r="14" spans="1:12">
      <c r="A14" s="262" t="s">
        <v>1791</v>
      </c>
      <c r="B14" s="332">
        <f>'Quotation sheet'!R52</f>
        <v>0</v>
      </c>
      <c r="C14" s="315" t="s">
        <v>1783</v>
      </c>
    </row>
    <row r="15" spans="1:12" ht="4.5" customHeight="1">
      <c r="B15" s="339"/>
      <c r="C15" s="339"/>
      <c r="D15" s="339"/>
      <c r="E15" s="339"/>
      <c r="F15" s="339"/>
      <c r="G15" s="339"/>
      <c r="H15" s="339"/>
      <c r="I15" s="339"/>
      <c r="J15" s="339"/>
      <c r="K15" s="339"/>
      <c r="L15" s="339"/>
    </row>
    <row r="16" spans="1:12">
      <c r="A16" s="262" t="s">
        <v>1786</v>
      </c>
      <c r="B16" s="332">
        <f>SUM('Quotation sheet'!E54:E55)</f>
        <v>0</v>
      </c>
      <c r="C16" s="315" t="s">
        <v>1783</v>
      </c>
    </row>
    <row r="17" spans="1:12">
      <c r="A17" s="262" t="s">
        <v>1787</v>
      </c>
      <c r="B17" s="332">
        <f>'Quotation sheet'!R74</f>
        <v>0</v>
      </c>
      <c r="C17" s="315" t="s">
        <v>1783</v>
      </c>
    </row>
    <row r="18" spans="1:12" ht="4.5" customHeight="1"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39"/>
    </row>
    <row r="19" spans="1:12" ht="45">
      <c r="A19" s="262" t="s">
        <v>1788</v>
      </c>
      <c r="B19" s="332">
        <f>'Quotation sheet'!R76</f>
        <v>0</v>
      </c>
      <c r="C19" s="315" t="s">
        <v>1783</v>
      </c>
      <c r="D19" s="264" t="s">
        <v>1790</v>
      </c>
    </row>
    <row r="20" spans="1:12" ht="4.5" customHeight="1">
      <c r="B20" s="339"/>
      <c r="C20" s="339"/>
      <c r="D20" s="339"/>
      <c r="E20" s="339"/>
      <c r="F20" s="339"/>
      <c r="G20" s="339"/>
      <c r="H20" s="339"/>
      <c r="I20" s="339"/>
      <c r="J20" s="339"/>
      <c r="K20" s="339"/>
      <c r="L20" s="339"/>
    </row>
    <row r="23" spans="1:12">
      <c r="A23" s="262" t="s">
        <v>1826</v>
      </c>
      <c r="B23" s="333">
        <f>'Quotation sheet'!R69+'Quotation sheet'!R73</f>
        <v>0</v>
      </c>
      <c r="C23" s="315" t="s">
        <v>1783</v>
      </c>
      <c r="D23" s="262" t="s">
        <v>1833</v>
      </c>
    </row>
  </sheetData>
  <sheetProtection sheet="1" objects="1" scenarios="1"/>
  <mergeCells count="5">
    <mergeCell ref="B10:L10"/>
    <mergeCell ref="B15:L15"/>
    <mergeCell ref="B18:L18"/>
    <mergeCell ref="B20:L20"/>
    <mergeCell ref="B8:L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683C-0C4D-4578-B3CB-16C4C9A818CF}">
  <sheetPr>
    <pageSetUpPr fitToPage="1"/>
  </sheetPr>
  <dimension ref="B1:Y84"/>
  <sheetViews>
    <sheetView showGridLines="0" zoomScaleNormal="100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L23" sqref="L23"/>
    </sheetView>
  </sheetViews>
  <sheetFormatPr defaultColWidth="11.42578125" defaultRowHeight="12.75"/>
  <cols>
    <col min="1" max="1" width="0.7109375" style="112" customWidth="1"/>
    <col min="2" max="2" width="1.7109375" style="112" customWidth="1"/>
    <col min="3" max="3" width="10.7109375" style="112" customWidth="1"/>
    <col min="4" max="4" width="16.42578125" style="112" customWidth="1"/>
    <col min="5" max="5" width="10.7109375" style="112" customWidth="1"/>
    <col min="6" max="7" width="1.7109375" style="112" customWidth="1"/>
    <col min="8" max="8" width="6.7109375" style="112" customWidth="1"/>
    <col min="9" max="9" width="10.7109375" style="112" customWidth="1"/>
    <col min="10" max="10" width="12.5703125" style="112" customWidth="1"/>
    <col min="11" max="11" width="1.7109375" style="112" customWidth="1"/>
    <col min="12" max="12" width="8.7109375" style="112" customWidth="1"/>
    <col min="13" max="13" width="11.28515625" style="112" customWidth="1"/>
    <col min="14" max="14" width="1.7109375" style="112" customWidth="1"/>
    <col min="15" max="16" width="8.7109375" style="112" customWidth="1"/>
    <col min="17" max="17" width="1.7109375" style="112" customWidth="1"/>
    <col min="18" max="18" width="12.7109375" style="112" customWidth="1"/>
    <col min="19" max="19" width="1.7109375" style="112" customWidth="1"/>
    <col min="20" max="20" width="0.7109375" style="112" customWidth="1"/>
    <col min="21" max="22" width="11.42578125" style="112"/>
    <col min="23" max="23" width="14.42578125" style="112" customWidth="1"/>
    <col min="24" max="256" width="11.42578125" style="112"/>
    <col min="257" max="257" width="0.7109375" style="112" customWidth="1"/>
    <col min="258" max="258" width="1.7109375" style="112" customWidth="1"/>
    <col min="259" max="259" width="10.7109375" style="112" customWidth="1"/>
    <col min="260" max="260" width="8.7109375" style="112" customWidth="1"/>
    <col min="261" max="261" width="10.7109375" style="112" customWidth="1"/>
    <col min="262" max="263" width="1.7109375" style="112" customWidth="1"/>
    <col min="264" max="264" width="6.7109375" style="112" customWidth="1"/>
    <col min="265" max="266" width="10.7109375" style="112" customWidth="1"/>
    <col min="267" max="267" width="1.7109375" style="112" customWidth="1"/>
    <col min="268" max="269" width="8.7109375" style="112" customWidth="1"/>
    <col min="270" max="270" width="1.7109375" style="112" customWidth="1"/>
    <col min="271" max="272" width="8.7109375" style="112" customWidth="1"/>
    <col min="273" max="273" width="1.7109375" style="112" customWidth="1"/>
    <col min="274" max="274" width="12.7109375" style="112" customWidth="1"/>
    <col min="275" max="275" width="1.7109375" style="112" customWidth="1"/>
    <col min="276" max="276" width="0.7109375" style="112" customWidth="1"/>
    <col min="277" max="512" width="11.42578125" style="112"/>
    <col min="513" max="513" width="0.7109375" style="112" customWidth="1"/>
    <col min="514" max="514" width="1.7109375" style="112" customWidth="1"/>
    <col min="515" max="515" width="10.7109375" style="112" customWidth="1"/>
    <col min="516" max="516" width="8.7109375" style="112" customWidth="1"/>
    <col min="517" max="517" width="10.7109375" style="112" customWidth="1"/>
    <col min="518" max="519" width="1.7109375" style="112" customWidth="1"/>
    <col min="520" max="520" width="6.7109375" style="112" customWidth="1"/>
    <col min="521" max="522" width="10.7109375" style="112" customWidth="1"/>
    <col min="523" max="523" width="1.7109375" style="112" customWidth="1"/>
    <col min="524" max="525" width="8.7109375" style="112" customWidth="1"/>
    <col min="526" max="526" width="1.7109375" style="112" customWidth="1"/>
    <col min="527" max="528" width="8.7109375" style="112" customWidth="1"/>
    <col min="529" max="529" width="1.7109375" style="112" customWidth="1"/>
    <col min="530" max="530" width="12.7109375" style="112" customWidth="1"/>
    <col min="531" max="531" width="1.7109375" style="112" customWidth="1"/>
    <col min="532" max="532" width="0.7109375" style="112" customWidth="1"/>
    <col min="533" max="768" width="11.42578125" style="112"/>
    <col min="769" max="769" width="0.7109375" style="112" customWidth="1"/>
    <col min="770" max="770" width="1.7109375" style="112" customWidth="1"/>
    <col min="771" max="771" width="10.7109375" style="112" customWidth="1"/>
    <col min="772" max="772" width="8.7109375" style="112" customWidth="1"/>
    <col min="773" max="773" width="10.7109375" style="112" customWidth="1"/>
    <col min="774" max="775" width="1.7109375" style="112" customWidth="1"/>
    <col min="776" max="776" width="6.7109375" style="112" customWidth="1"/>
    <col min="777" max="778" width="10.7109375" style="112" customWidth="1"/>
    <col min="779" max="779" width="1.7109375" style="112" customWidth="1"/>
    <col min="780" max="781" width="8.7109375" style="112" customWidth="1"/>
    <col min="782" max="782" width="1.7109375" style="112" customWidth="1"/>
    <col min="783" max="784" width="8.7109375" style="112" customWidth="1"/>
    <col min="785" max="785" width="1.7109375" style="112" customWidth="1"/>
    <col min="786" max="786" width="12.7109375" style="112" customWidth="1"/>
    <col min="787" max="787" width="1.7109375" style="112" customWidth="1"/>
    <col min="788" max="788" width="0.7109375" style="112" customWidth="1"/>
    <col min="789" max="1024" width="11.42578125" style="112"/>
    <col min="1025" max="1025" width="0.7109375" style="112" customWidth="1"/>
    <col min="1026" max="1026" width="1.7109375" style="112" customWidth="1"/>
    <col min="1027" max="1027" width="10.7109375" style="112" customWidth="1"/>
    <col min="1028" max="1028" width="8.7109375" style="112" customWidth="1"/>
    <col min="1029" max="1029" width="10.7109375" style="112" customWidth="1"/>
    <col min="1030" max="1031" width="1.7109375" style="112" customWidth="1"/>
    <col min="1032" max="1032" width="6.7109375" style="112" customWidth="1"/>
    <col min="1033" max="1034" width="10.7109375" style="112" customWidth="1"/>
    <col min="1035" max="1035" width="1.7109375" style="112" customWidth="1"/>
    <col min="1036" max="1037" width="8.7109375" style="112" customWidth="1"/>
    <col min="1038" max="1038" width="1.7109375" style="112" customWidth="1"/>
    <col min="1039" max="1040" width="8.7109375" style="112" customWidth="1"/>
    <col min="1041" max="1041" width="1.7109375" style="112" customWidth="1"/>
    <col min="1042" max="1042" width="12.7109375" style="112" customWidth="1"/>
    <col min="1043" max="1043" width="1.7109375" style="112" customWidth="1"/>
    <col min="1044" max="1044" width="0.7109375" style="112" customWidth="1"/>
    <col min="1045" max="1280" width="11.42578125" style="112"/>
    <col min="1281" max="1281" width="0.7109375" style="112" customWidth="1"/>
    <col min="1282" max="1282" width="1.7109375" style="112" customWidth="1"/>
    <col min="1283" max="1283" width="10.7109375" style="112" customWidth="1"/>
    <col min="1284" max="1284" width="8.7109375" style="112" customWidth="1"/>
    <col min="1285" max="1285" width="10.7109375" style="112" customWidth="1"/>
    <col min="1286" max="1287" width="1.7109375" style="112" customWidth="1"/>
    <col min="1288" max="1288" width="6.7109375" style="112" customWidth="1"/>
    <col min="1289" max="1290" width="10.7109375" style="112" customWidth="1"/>
    <col min="1291" max="1291" width="1.7109375" style="112" customWidth="1"/>
    <col min="1292" max="1293" width="8.7109375" style="112" customWidth="1"/>
    <col min="1294" max="1294" width="1.7109375" style="112" customWidth="1"/>
    <col min="1295" max="1296" width="8.7109375" style="112" customWidth="1"/>
    <col min="1297" max="1297" width="1.7109375" style="112" customWidth="1"/>
    <col min="1298" max="1298" width="12.7109375" style="112" customWidth="1"/>
    <col min="1299" max="1299" width="1.7109375" style="112" customWidth="1"/>
    <col min="1300" max="1300" width="0.7109375" style="112" customWidth="1"/>
    <col min="1301" max="1536" width="11.42578125" style="112"/>
    <col min="1537" max="1537" width="0.7109375" style="112" customWidth="1"/>
    <col min="1538" max="1538" width="1.7109375" style="112" customWidth="1"/>
    <col min="1539" max="1539" width="10.7109375" style="112" customWidth="1"/>
    <col min="1540" max="1540" width="8.7109375" style="112" customWidth="1"/>
    <col min="1541" max="1541" width="10.7109375" style="112" customWidth="1"/>
    <col min="1542" max="1543" width="1.7109375" style="112" customWidth="1"/>
    <col min="1544" max="1544" width="6.7109375" style="112" customWidth="1"/>
    <col min="1545" max="1546" width="10.7109375" style="112" customWidth="1"/>
    <col min="1547" max="1547" width="1.7109375" style="112" customWidth="1"/>
    <col min="1548" max="1549" width="8.7109375" style="112" customWidth="1"/>
    <col min="1550" max="1550" width="1.7109375" style="112" customWidth="1"/>
    <col min="1551" max="1552" width="8.7109375" style="112" customWidth="1"/>
    <col min="1553" max="1553" width="1.7109375" style="112" customWidth="1"/>
    <col min="1554" max="1554" width="12.7109375" style="112" customWidth="1"/>
    <col min="1555" max="1555" width="1.7109375" style="112" customWidth="1"/>
    <col min="1556" max="1556" width="0.7109375" style="112" customWidth="1"/>
    <col min="1557" max="1792" width="11.42578125" style="112"/>
    <col min="1793" max="1793" width="0.7109375" style="112" customWidth="1"/>
    <col min="1794" max="1794" width="1.7109375" style="112" customWidth="1"/>
    <col min="1795" max="1795" width="10.7109375" style="112" customWidth="1"/>
    <col min="1796" max="1796" width="8.7109375" style="112" customWidth="1"/>
    <col min="1797" max="1797" width="10.7109375" style="112" customWidth="1"/>
    <col min="1798" max="1799" width="1.7109375" style="112" customWidth="1"/>
    <col min="1800" max="1800" width="6.7109375" style="112" customWidth="1"/>
    <col min="1801" max="1802" width="10.7109375" style="112" customWidth="1"/>
    <col min="1803" max="1803" width="1.7109375" style="112" customWidth="1"/>
    <col min="1804" max="1805" width="8.7109375" style="112" customWidth="1"/>
    <col min="1806" max="1806" width="1.7109375" style="112" customWidth="1"/>
    <col min="1807" max="1808" width="8.7109375" style="112" customWidth="1"/>
    <col min="1809" max="1809" width="1.7109375" style="112" customWidth="1"/>
    <col min="1810" max="1810" width="12.7109375" style="112" customWidth="1"/>
    <col min="1811" max="1811" width="1.7109375" style="112" customWidth="1"/>
    <col min="1812" max="1812" width="0.7109375" style="112" customWidth="1"/>
    <col min="1813" max="2048" width="11.42578125" style="112"/>
    <col min="2049" max="2049" width="0.7109375" style="112" customWidth="1"/>
    <col min="2050" max="2050" width="1.7109375" style="112" customWidth="1"/>
    <col min="2051" max="2051" width="10.7109375" style="112" customWidth="1"/>
    <col min="2052" max="2052" width="8.7109375" style="112" customWidth="1"/>
    <col min="2053" max="2053" width="10.7109375" style="112" customWidth="1"/>
    <col min="2054" max="2055" width="1.7109375" style="112" customWidth="1"/>
    <col min="2056" max="2056" width="6.7109375" style="112" customWidth="1"/>
    <col min="2057" max="2058" width="10.7109375" style="112" customWidth="1"/>
    <col min="2059" max="2059" width="1.7109375" style="112" customWidth="1"/>
    <col min="2060" max="2061" width="8.7109375" style="112" customWidth="1"/>
    <col min="2062" max="2062" width="1.7109375" style="112" customWidth="1"/>
    <col min="2063" max="2064" width="8.7109375" style="112" customWidth="1"/>
    <col min="2065" max="2065" width="1.7109375" style="112" customWidth="1"/>
    <col min="2066" max="2066" width="12.7109375" style="112" customWidth="1"/>
    <col min="2067" max="2067" width="1.7109375" style="112" customWidth="1"/>
    <col min="2068" max="2068" width="0.7109375" style="112" customWidth="1"/>
    <col min="2069" max="2304" width="11.42578125" style="112"/>
    <col min="2305" max="2305" width="0.7109375" style="112" customWidth="1"/>
    <col min="2306" max="2306" width="1.7109375" style="112" customWidth="1"/>
    <col min="2307" max="2307" width="10.7109375" style="112" customWidth="1"/>
    <col min="2308" max="2308" width="8.7109375" style="112" customWidth="1"/>
    <col min="2309" max="2309" width="10.7109375" style="112" customWidth="1"/>
    <col min="2310" max="2311" width="1.7109375" style="112" customWidth="1"/>
    <col min="2312" max="2312" width="6.7109375" style="112" customWidth="1"/>
    <col min="2313" max="2314" width="10.7109375" style="112" customWidth="1"/>
    <col min="2315" max="2315" width="1.7109375" style="112" customWidth="1"/>
    <col min="2316" max="2317" width="8.7109375" style="112" customWidth="1"/>
    <col min="2318" max="2318" width="1.7109375" style="112" customWidth="1"/>
    <col min="2319" max="2320" width="8.7109375" style="112" customWidth="1"/>
    <col min="2321" max="2321" width="1.7109375" style="112" customWidth="1"/>
    <col min="2322" max="2322" width="12.7109375" style="112" customWidth="1"/>
    <col min="2323" max="2323" width="1.7109375" style="112" customWidth="1"/>
    <col min="2324" max="2324" width="0.7109375" style="112" customWidth="1"/>
    <col min="2325" max="2560" width="11.42578125" style="112"/>
    <col min="2561" max="2561" width="0.7109375" style="112" customWidth="1"/>
    <col min="2562" max="2562" width="1.7109375" style="112" customWidth="1"/>
    <col min="2563" max="2563" width="10.7109375" style="112" customWidth="1"/>
    <col min="2564" max="2564" width="8.7109375" style="112" customWidth="1"/>
    <col min="2565" max="2565" width="10.7109375" style="112" customWidth="1"/>
    <col min="2566" max="2567" width="1.7109375" style="112" customWidth="1"/>
    <col min="2568" max="2568" width="6.7109375" style="112" customWidth="1"/>
    <col min="2569" max="2570" width="10.7109375" style="112" customWidth="1"/>
    <col min="2571" max="2571" width="1.7109375" style="112" customWidth="1"/>
    <col min="2572" max="2573" width="8.7109375" style="112" customWidth="1"/>
    <col min="2574" max="2574" width="1.7109375" style="112" customWidth="1"/>
    <col min="2575" max="2576" width="8.7109375" style="112" customWidth="1"/>
    <col min="2577" max="2577" width="1.7109375" style="112" customWidth="1"/>
    <col min="2578" max="2578" width="12.7109375" style="112" customWidth="1"/>
    <col min="2579" max="2579" width="1.7109375" style="112" customWidth="1"/>
    <col min="2580" max="2580" width="0.7109375" style="112" customWidth="1"/>
    <col min="2581" max="2816" width="11.42578125" style="112"/>
    <col min="2817" max="2817" width="0.7109375" style="112" customWidth="1"/>
    <col min="2818" max="2818" width="1.7109375" style="112" customWidth="1"/>
    <col min="2819" max="2819" width="10.7109375" style="112" customWidth="1"/>
    <col min="2820" max="2820" width="8.7109375" style="112" customWidth="1"/>
    <col min="2821" max="2821" width="10.7109375" style="112" customWidth="1"/>
    <col min="2822" max="2823" width="1.7109375" style="112" customWidth="1"/>
    <col min="2824" max="2824" width="6.7109375" style="112" customWidth="1"/>
    <col min="2825" max="2826" width="10.7109375" style="112" customWidth="1"/>
    <col min="2827" max="2827" width="1.7109375" style="112" customWidth="1"/>
    <col min="2828" max="2829" width="8.7109375" style="112" customWidth="1"/>
    <col min="2830" max="2830" width="1.7109375" style="112" customWidth="1"/>
    <col min="2831" max="2832" width="8.7109375" style="112" customWidth="1"/>
    <col min="2833" max="2833" width="1.7109375" style="112" customWidth="1"/>
    <col min="2834" max="2834" width="12.7109375" style="112" customWidth="1"/>
    <col min="2835" max="2835" width="1.7109375" style="112" customWidth="1"/>
    <col min="2836" max="2836" width="0.7109375" style="112" customWidth="1"/>
    <col min="2837" max="3072" width="11.42578125" style="112"/>
    <col min="3073" max="3073" width="0.7109375" style="112" customWidth="1"/>
    <col min="3074" max="3074" width="1.7109375" style="112" customWidth="1"/>
    <col min="3075" max="3075" width="10.7109375" style="112" customWidth="1"/>
    <col min="3076" max="3076" width="8.7109375" style="112" customWidth="1"/>
    <col min="3077" max="3077" width="10.7109375" style="112" customWidth="1"/>
    <col min="3078" max="3079" width="1.7109375" style="112" customWidth="1"/>
    <col min="3080" max="3080" width="6.7109375" style="112" customWidth="1"/>
    <col min="3081" max="3082" width="10.7109375" style="112" customWidth="1"/>
    <col min="3083" max="3083" width="1.7109375" style="112" customWidth="1"/>
    <col min="3084" max="3085" width="8.7109375" style="112" customWidth="1"/>
    <col min="3086" max="3086" width="1.7109375" style="112" customWidth="1"/>
    <col min="3087" max="3088" width="8.7109375" style="112" customWidth="1"/>
    <col min="3089" max="3089" width="1.7109375" style="112" customWidth="1"/>
    <col min="3090" max="3090" width="12.7109375" style="112" customWidth="1"/>
    <col min="3091" max="3091" width="1.7109375" style="112" customWidth="1"/>
    <col min="3092" max="3092" width="0.7109375" style="112" customWidth="1"/>
    <col min="3093" max="3328" width="11.42578125" style="112"/>
    <col min="3329" max="3329" width="0.7109375" style="112" customWidth="1"/>
    <col min="3330" max="3330" width="1.7109375" style="112" customWidth="1"/>
    <col min="3331" max="3331" width="10.7109375" style="112" customWidth="1"/>
    <col min="3332" max="3332" width="8.7109375" style="112" customWidth="1"/>
    <col min="3333" max="3333" width="10.7109375" style="112" customWidth="1"/>
    <col min="3334" max="3335" width="1.7109375" style="112" customWidth="1"/>
    <col min="3336" max="3336" width="6.7109375" style="112" customWidth="1"/>
    <col min="3337" max="3338" width="10.7109375" style="112" customWidth="1"/>
    <col min="3339" max="3339" width="1.7109375" style="112" customWidth="1"/>
    <col min="3340" max="3341" width="8.7109375" style="112" customWidth="1"/>
    <col min="3342" max="3342" width="1.7109375" style="112" customWidth="1"/>
    <col min="3343" max="3344" width="8.7109375" style="112" customWidth="1"/>
    <col min="3345" max="3345" width="1.7109375" style="112" customWidth="1"/>
    <col min="3346" max="3346" width="12.7109375" style="112" customWidth="1"/>
    <col min="3347" max="3347" width="1.7109375" style="112" customWidth="1"/>
    <col min="3348" max="3348" width="0.7109375" style="112" customWidth="1"/>
    <col min="3349" max="3584" width="11.42578125" style="112"/>
    <col min="3585" max="3585" width="0.7109375" style="112" customWidth="1"/>
    <col min="3586" max="3586" width="1.7109375" style="112" customWidth="1"/>
    <col min="3587" max="3587" width="10.7109375" style="112" customWidth="1"/>
    <col min="3588" max="3588" width="8.7109375" style="112" customWidth="1"/>
    <col min="3589" max="3589" width="10.7109375" style="112" customWidth="1"/>
    <col min="3590" max="3591" width="1.7109375" style="112" customWidth="1"/>
    <col min="3592" max="3592" width="6.7109375" style="112" customWidth="1"/>
    <col min="3593" max="3594" width="10.7109375" style="112" customWidth="1"/>
    <col min="3595" max="3595" width="1.7109375" style="112" customWidth="1"/>
    <col min="3596" max="3597" width="8.7109375" style="112" customWidth="1"/>
    <col min="3598" max="3598" width="1.7109375" style="112" customWidth="1"/>
    <col min="3599" max="3600" width="8.7109375" style="112" customWidth="1"/>
    <col min="3601" max="3601" width="1.7109375" style="112" customWidth="1"/>
    <col min="3602" max="3602" width="12.7109375" style="112" customWidth="1"/>
    <col min="3603" max="3603" width="1.7109375" style="112" customWidth="1"/>
    <col min="3604" max="3604" width="0.7109375" style="112" customWidth="1"/>
    <col min="3605" max="3840" width="11.42578125" style="112"/>
    <col min="3841" max="3841" width="0.7109375" style="112" customWidth="1"/>
    <col min="3842" max="3842" width="1.7109375" style="112" customWidth="1"/>
    <col min="3843" max="3843" width="10.7109375" style="112" customWidth="1"/>
    <col min="3844" max="3844" width="8.7109375" style="112" customWidth="1"/>
    <col min="3845" max="3845" width="10.7109375" style="112" customWidth="1"/>
    <col min="3846" max="3847" width="1.7109375" style="112" customWidth="1"/>
    <col min="3848" max="3848" width="6.7109375" style="112" customWidth="1"/>
    <col min="3849" max="3850" width="10.7109375" style="112" customWidth="1"/>
    <col min="3851" max="3851" width="1.7109375" style="112" customWidth="1"/>
    <col min="3852" max="3853" width="8.7109375" style="112" customWidth="1"/>
    <col min="3854" max="3854" width="1.7109375" style="112" customWidth="1"/>
    <col min="3855" max="3856" width="8.7109375" style="112" customWidth="1"/>
    <col min="3857" max="3857" width="1.7109375" style="112" customWidth="1"/>
    <col min="3858" max="3858" width="12.7109375" style="112" customWidth="1"/>
    <col min="3859" max="3859" width="1.7109375" style="112" customWidth="1"/>
    <col min="3860" max="3860" width="0.7109375" style="112" customWidth="1"/>
    <col min="3861" max="4096" width="11.42578125" style="112"/>
    <col min="4097" max="4097" width="0.7109375" style="112" customWidth="1"/>
    <col min="4098" max="4098" width="1.7109375" style="112" customWidth="1"/>
    <col min="4099" max="4099" width="10.7109375" style="112" customWidth="1"/>
    <col min="4100" max="4100" width="8.7109375" style="112" customWidth="1"/>
    <col min="4101" max="4101" width="10.7109375" style="112" customWidth="1"/>
    <col min="4102" max="4103" width="1.7109375" style="112" customWidth="1"/>
    <col min="4104" max="4104" width="6.7109375" style="112" customWidth="1"/>
    <col min="4105" max="4106" width="10.7109375" style="112" customWidth="1"/>
    <col min="4107" max="4107" width="1.7109375" style="112" customWidth="1"/>
    <col min="4108" max="4109" width="8.7109375" style="112" customWidth="1"/>
    <col min="4110" max="4110" width="1.7109375" style="112" customWidth="1"/>
    <col min="4111" max="4112" width="8.7109375" style="112" customWidth="1"/>
    <col min="4113" max="4113" width="1.7109375" style="112" customWidth="1"/>
    <col min="4114" max="4114" width="12.7109375" style="112" customWidth="1"/>
    <col min="4115" max="4115" width="1.7109375" style="112" customWidth="1"/>
    <col min="4116" max="4116" width="0.7109375" style="112" customWidth="1"/>
    <col min="4117" max="4352" width="11.42578125" style="112"/>
    <col min="4353" max="4353" width="0.7109375" style="112" customWidth="1"/>
    <col min="4354" max="4354" width="1.7109375" style="112" customWidth="1"/>
    <col min="4355" max="4355" width="10.7109375" style="112" customWidth="1"/>
    <col min="4356" max="4356" width="8.7109375" style="112" customWidth="1"/>
    <col min="4357" max="4357" width="10.7109375" style="112" customWidth="1"/>
    <col min="4358" max="4359" width="1.7109375" style="112" customWidth="1"/>
    <col min="4360" max="4360" width="6.7109375" style="112" customWidth="1"/>
    <col min="4361" max="4362" width="10.7109375" style="112" customWidth="1"/>
    <col min="4363" max="4363" width="1.7109375" style="112" customWidth="1"/>
    <col min="4364" max="4365" width="8.7109375" style="112" customWidth="1"/>
    <col min="4366" max="4366" width="1.7109375" style="112" customWidth="1"/>
    <col min="4367" max="4368" width="8.7109375" style="112" customWidth="1"/>
    <col min="4369" max="4369" width="1.7109375" style="112" customWidth="1"/>
    <col min="4370" max="4370" width="12.7109375" style="112" customWidth="1"/>
    <col min="4371" max="4371" width="1.7109375" style="112" customWidth="1"/>
    <col min="4372" max="4372" width="0.7109375" style="112" customWidth="1"/>
    <col min="4373" max="4608" width="11.42578125" style="112"/>
    <col min="4609" max="4609" width="0.7109375" style="112" customWidth="1"/>
    <col min="4610" max="4610" width="1.7109375" style="112" customWidth="1"/>
    <col min="4611" max="4611" width="10.7109375" style="112" customWidth="1"/>
    <col min="4612" max="4612" width="8.7109375" style="112" customWidth="1"/>
    <col min="4613" max="4613" width="10.7109375" style="112" customWidth="1"/>
    <col min="4614" max="4615" width="1.7109375" style="112" customWidth="1"/>
    <col min="4616" max="4616" width="6.7109375" style="112" customWidth="1"/>
    <col min="4617" max="4618" width="10.7109375" style="112" customWidth="1"/>
    <col min="4619" max="4619" width="1.7109375" style="112" customWidth="1"/>
    <col min="4620" max="4621" width="8.7109375" style="112" customWidth="1"/>
    <col min="4622" max="4622" width="1.7109375" style="112" customWidth="1"/>
    <col min="4623" max="4624" width="8.7109375" style="112" customWidth="1"/>
    <col min="4625" max="4625" width="1.7109375" style="112" customWidth="1"/>
    <col min="4626" max="4626" width="12.7109375" style="112" customWidth="1"/>
    <col min="4627" max="4627" width="1.7109375" style="112" customWidth="1"/>
    <col min="4628" max="4628" width="0.7109375" style="112" customWidth="1"/>
    <col min="4629" max="4864" width="11.42578125" style="112"/>
    <col min="4865" max="4865" width="0.7109375" style="112" customWidth="1"/>
    <col min="4866" max="4866" width="1.7109375" style="112" customWidth="1"/>
    <col min="4867" max="4867" width="10.7109375" style="112" customWidth="1"/>
    <col min="4868" max="4868" width="8.7109375" style="112" customWidth="1"/>
    <col min="4869" max="4869" width="10.7109375" style="112" customWidth="1"/>
    <col min="4870" max="4871" width="1.7109375" style="112" customWidth="1"/>
    <col min="4872" max="4872" width="6.7109375" style="112" customWidth="1"/>
    <col min="4873" max="4874" width="10.7109375" style="112" customWidth="1"/>
    <col min="4875" max="4875" width="1.7109375" style="112" customWidth="1"/>
    <col min="4876" max="4877" width="8.7109375" style="112" customWidth="1"/>
    <col min="4878" max="4878" width="1.7109375" style="112" customWidth="1"/>
    <col min="4879" max="4880" width="8.7109375" style="112" customWidth="1"/>
    <col min="4881" max="4881" width="1.7109375" style="112" customWidth="1"/>
    <col min="4882" max="4882" width="12.7109375" style="112" customWidth="1"/>
    <col min="4883" max="4883" width="1.7109375" style="112" customWidth="1"/>
    <col min="4884" max="4884" width="0.7109375" style="112" customWidth="1"/>
    <col min="4885" max="5120" width="11.42578125" style="112"/>
    <col min="5121" max="5121" width="0.7109375" style="112" customWidth="1"/>
    <col min="5122" max="5122" width="1.7109375" style="112" customWidth="1"/>
    <col min="5123" max="5123" width="10.7109375" style="112" customWidth="1"/>
    <col min="5124" max="5124" width="8.7109375" style="112" customWidth="1"/>
    <col min="5125" max="5125" width="10.7109375" style="112" customWidth="1"/>
    <col min="5126" max="5127" width="1.7109375" style="112" customWidth="1"/>
    <col min="5128" max="5128" width="6.7109375" style="112" customWidth="1"/>
    <col min="5129" max="5130" width="10.7109375" style="112" customWidth="1"/>
    <col min="5131" max="5131" width="1.7109375" style="112" customWidth="1"/>
    <col min="5132" max="5133" width="8.7109375" style="112" customWidth="1"/>
    <col min="5134" max="5134" width="1.7109375" style="112" customWidth="1"/>
    <col min="5135" max="5136" width="8.7109375" style="112" customWidth="1"/>
    <col min="5137" max="5137" width="1.7109375" style="112" customWidth="1"/>
    <col min="5138" max="5138" width="12.7109375" style="112" customWidth="1"/>
    <col min="5139" max="5139" width="1.7109375" style="112" customWidth="1"/>
    <col min="5140" max="5140" width="0.7109375" style="112" customWidth="1"/>
    <col min="5141" max="5376" width="11.42578125" style="112"/>
    <col min="5377" max="5377" width="0.7109375" style="112" customWidth="1"/>
    <col min="5378" max="5378" width="1.7109375" style="112" customWidth="1"/>
    <col min="5379" max="5379" width="10.7109375" style="112" customWidth="1"/>
    <col min="5380" max="5380" width="8.7109375" style="112" customWidth="1"/>
    <col min="5381" max="5381" width="10.7109375" style="112" customWidth="1"/>
    <col min="5382" max="5383" width="1.7109375" style="112" customWidth="1"/>
    <col min="5384" max="5384" width="6.7109375" style="112" customWidth="1"/>
    <col min="5385" max="5386" width="10.7109375" style="112" customWidth="1"/>
    <col min="5387" max="5387" width="1.7109375" style="112" customWidth="1"/>
    <col min="5388" max="5389" width="8.7109375" style="112" customWidth="1"/>
    <col min="5390" max="5390" width="1.7109375" style="112" customWidth="1"/>
    <col min="5391" max="5392" width="8.7109375" style="112" customWidth="1"/>
    <col min="5393" max="5393" width="1.7109375" style="112" customWidth="1"/>
    <col min="5394" max="5394" width="12.7109375" style="112" customWidth="1"/>
    <col min="5395" max="5395" width="1.7109375" style="112" customWidth="1"/>
    <col min="5396" max="5396" width="0.7109375" style="112" customWidth="1"/>
    <col min="5397" max="5632" width="11.42578125" style="112"/>
    <col min="5633" max="5633" width="0.7109375" style="112" customWidth="1"/>
    <col min="5634" max="5634" width="1.7109375" style="112" customWidth="1"/>
    <col min="5635" max="5635" width="10.7109375" style="112" customWidth="1"/>
    <col min="5636" max="5636" width="8.7109375" style="112" customWidth="1"/>
    <col min="5637" max="5637" width="10.7109375" style="112" customWidth="1"/>
    <col min="5638" max="5639" width="1.7109375" style="112" customWidth="1"/>
    <col min="5640" max="5640" width="6.7109375" style="112" customWidth="1"/>
    <col min="5641" max="5642" width="10.7109375" style="112" customWidth="1"/>
    <col min="5643" max="5643" width="1.7109375" style="112" customWidth="1"/>
    <col min="5644" max="5645" width="8.7109375" style="112" customWidth="1"/>
    <col min="5646" max="5646" width="1.7109375" style="112" customWidth="1"/>
    <col min="5647" max="5648" width="8.7109375" style="112" customWidth="1"/>
    <col min="5649" max="5649" width="1.7109375" style="112" customWidth="1"/>
    <col min="5650" max="5650" width="12.7109375" style="112" customWidth="1"/>
    <col min="5651" max="5651" width="1.7109375" style="112" customWidth="1"/>
    <col min="5652" max="5652" width="0.7109375" style="112" customWidth="1"/>
    <col min="5653" max="5888" width="11.42578125" style="112"/>
    <col min="5889" max="5889" width="0.7109375" style="112" customWidth="1"/>
    <col min="5890" max="5890" width="1.7109375" style="112" customWidth="1"/>
    <col min="5891" max="5891" width="10.7109375" style="112" customWidth="1"/>
    <col min="5892" max="5892" width="8.7109375" style="112" customWidth="1"/>
    <col min="5893" max="5893" width="10.7109375" style="112" customWidth="1"/>
    <col min="5894" max="5895" width="1.7109375" style="112" customWidth="1"/>
    <col min="5896" max="5896" width="6.7109375" style="112" customWidth="1"/>
    <col min="5897" max="5898" width="10.7109375" style="112" customWidth="1"/>
    <col min="5899" max="5899" width="1.7109375" style="112" customWidth="1"/>
    <col min="5900" max="5901" width="8.7109375" style="112" customWidth="1"/>
    <col min="5902" max="5902" width="1.7109375" style="112" customWidth="1"/>
    <col min="5903" max="5904" width="8.7109375" style="112" customWidth="1"/>
    <col min="5905" max="5905" width="1.7109375" style="112" customWidth="1"/>
    <col min="5906" max="5906" width="12.7109375" style="112" customWidth="1"/>
    <col min="5907" max="5907" width="1.7109375" style="112" customWidth="1"/>
    <col min="5908" max="5908" width="0.7109375" style="112" customWidth="1"/>
    <col min="5909" max="6144" width="11.42578125" style="112"/>
    <col min="6145" max="6145" width="0.7109375" style="112" customWidth="1"/>
    <col min="6146" max="6146" width="1.7109375" style="112" customWidth="1"/>
    <col min="6147" max="6147" width="10.7109375" style="112" customWidth="1"/>
    <col min="6148" max="6148" width="8.7109375" style="112" customWidth="1"/>
    <col min="6149" max="6149" width="10.7109375" style="112" customWidth="1"/>
    <col min="6150" max="6151" width="1.7109375" style="112" customWidth="1"/>
    <col min="6152" max="6152" width="6.7109375" style="112" customWidth="1"/>
    <col min="6153" max="6154" width="10.7109375" style="112" customWidth="1"/>
    <col min="6155" max="6155" width="1.7109375" style="112" customWidth="1"/>
    <col min="6156" max="6157" width="8.7109375" style="112" customWidth="1"/>
    <col min="6158" max="6158" width="1.7109375" style="112" customWidth="1"/>
    <col min="6159" max="6160" width="8.7109375" style="112" customWidth="1"/>
    <col min="6161" max="6161" width="1.7109375" style="112" customWidth="1"/>
    <col min="6162" max="6162" width="12.7109375" style="112" customWidth="1"/>
    <col min="6163" max="6163" width="1.7109375" style="112" customWidth="1"/>
    <col min="6164" max="6164" width="0.7109375" style="112" customWidth="1"/>
    <col min="6165" max="6400" width="11.42578125" style="112"/>
    <col min="6401" max="6401" width="0.7109375" style="112" customWidth="1"/>
    <col min="6402" max="6402" width="1.7109375" style="112" customWidth="1"/>
    <col min="6403" max="6403" width="10.7109375" style="112" customWidth="1"/>
    <col min="6404" max="6404" width="8.7109375" style="112" customWidth="1"/>
    <col min="6405" max="6405" width="10.7109375" style="112" customWidth="1"/>
    <col min="6406" max="6407" width="1.7109375" style="112" customWidth="1"/>
    <col min="6408" max="6408" width="6.7109375" style="112" customWidth="1"/>
    <col min="6409" max="6410" width="10.7109375" style="112" customWidth="1"/>
    <col min="6411" max="6411" width="1.7109375" style="112" customWidth="1"/>
    <col min="6412" max="6413" width="8.7109375" style="112" customWidth="1"/>
    <col min="6414" max="6414" width="1.7109375" style="112" customWidth="1"/>
    <col min="6415" max="6416" width="8.7109375" style="112" customWidth="1"/>
    <col min="6417" max="6417" width="1.7109375" style="112" customWidth="1"/>
    <col min="6418" max="6418" width="12.7109375" style="112" customWidth="1"/>
    <col min="6419" max="6419" width="1.7109375" style="112" customWidth="1"/>
    <col min="6420" max="6420" width="0.7109375" style="112" customWidth="1"/>
    <col min="6421" max="6656" width="11.42578125" style="112"/>
    <col min="6657" max="6657" width="0.7109375" style="112" customWidth="1"/>
    <col min="6658" max="6658" width="1.7109375" style="112" customWidth="1"/>
    <col min="6659" max="6659" width="10.7109375" style="112" customWidth="1"/>
    <col min="6660" max="6660" width="8.7109375" style="112" customWidth="1"/>
    <col min="6661" max="6661" width="10.7109375" style="112" customWidth="1"/>
    <col min="6662" max="6663" width="1.7109375" style="112" customWidth="1"/>
    <col min="6664" max="6664" width="6.7109375" style="112" customWidth="1"/>
    <col min="6665" max="6666" width="10.7109375" style="112" customWidth="1"/>
    <col min="6667" max="6667" width="1.7109375" style="112" customWidth="1"/>
    <col min="6668" max="6669" width="8.7109375" style="112" customWidth="1"/>
    <col min="6670" max="6670" width="1.7109375" style="112" customWidth="1"/>
    <col min="6671" max="6672" width="8.7109375" style="112" customWidth="1"/>
    <col min="6673" max="6673" width="1.7109375" style="112" customWidth="1"/>
    <col min="6674" max="6674" width="12.7109375" style="112" customWidth="1"/>
    <col min="6675" max="6675" width="1.7109375" style="112" customWidth="1"/>
    <col min="6676" max="6676" width="0.7109375" style="112" customWidth="1"/>
    <col min="6677" max="6912" width="11.42578125" style="112"/>
    <col min="6913" max="6913" width="0.7109375" style="112" customWidth="1"/>
    <col min="6914" max="6914" width="1.7109375" style="112" customWidth="1"/>
    <col min="6915" max="6915" width="10.7109375" style="112" customWidth="1"/>
    <col min="6916" max="6916" width="8.7109375" style="112" customWidth="1"/>
    <col min="6917" max="6917" width="10.7109375" style="112" customWidth="1"/>
    <col min="6918" max="6919" width="1.7109375" style="112" customWidth="1"/>
    <col min="6920" max="6920" width="6.7109375" style="112" customWidth="1"/>
    <col min="6921" max="6922" width="10.7109375" style="112" customWidth="1"/>
    <col min="6923" max="6923" width="1.7109375" style="112" customWidth="1"/>
    <col min="6924" max="6925" width="8.7109375" style="112" customWidth="1"/>
    <col min="6926" max="6926" width="1.7109375" style="112" customWidth="1"/>
    <col min="6927" max="6928" width="8.7109375" style="112" customWidth="1"/>
    <col min="6929" max="6929" width="1.7109375" style="112" customWidth="1"/>
    <col min="6930" max="6930" width="12.7109375" style="112" customWidth="1"/>
    <col min="6931" max="6931" width="1.7109375" style="112" customWidth="1"/>
    <col min="6932" max="6932" width="0.7109375" style="112" customWidth="1"/>
    <col min="6933" max="7168" width="11.42578125" style="112"/>
    <col min="7169" max="7169" width="0.7109375" style="112" customWidth="1"/>
    <col min="7170" max="7170" width="1.7109375" style="112" customWidth="1"/>
    <col min="7171" max="7171" width="10.7109375" style="112" customWidth="1"/>
    <col min="7172" max="7172" width="8.7109375" style="112" customWidth="1"/>
    <col min="7173" max="7173" width="10.7109375" style="112" customWidth="1"/>
    <col min="7174" max="7175" width="1.7109375" style="112" customWidth="1"/>
    <col min="7176" max="7176" width="6.7109375" style="112" customWidth="1"/>
    <col min="7177" max="7178" width="10.7109375" style="112" customWidth="1"/>
    <col min="7179" max="7179" width="1.7109375" style="112" customWidth="1"/>
    <col min="7180" max="7181" width="8.7109375" style="112" customWidth="1"/>
    <col min="7182" max="7182" width="1.7109375" style="112" customWidth="1"/>
    <col min="7183" max="7184" width="8.7109375" style="112" customWidth="1"/>
    <col min="7185" max="7185" width="1.7109375" style="112" customWidth="1"/>
    <col min="7186" max="7186" width="12.7109375" style="112" customWidth="1"/>
    <col min="7187" max="7187" width="1.7109375" style="112" customWidth="1"/>
    <col min="7188" max="7188" width="0.7109375" style="112" customWidth="1"/>
    <col min="7189" max="7424" width="11.42578125" style="112"/>
    <col min="7425" max="7425" width="0.7109375" style="112" customWidth="1"/>
    <col min="7426" max="7426" width="1.7109375" style="112" customWidth="1"/>
    <col min="7427" max="7427" width="10.7109375" style="112" customWidth="1"/>
    <col min="7428" max="7428" width="8.7109375" style="112" customWidth="1"/>
    <col min="7429" max="7429" width="10.7109375" style="112" customWidth="1"/>
    <col min="7430" max="7431" width="1.7109375" style="112" customWidth="1"/>
    <col min="7432" max="7432" width="6.7109375" style="112" customWidth="1"/>
    <col min="7433" max="7434" width="10.7109375" style="112" customWidth="1"/>
    <col min="7435" max="7435" width="1.7109375" style="112" customWidth="1"/>
    <col min="7436" max="7437" width="8.7109375" style="112" customWidth="1"/>
    <col min="7438" max="7438" width="1.7109375" style="112" customWidth="1"/>
    <col min="7439" max="7440" width="8.7109375" style="112" customWidth="1"/>
    <col min="7441" max="7441" width="1.7109375" style="112" customWidth="1"/>
    <col min="7442" max="7442" width="12.7109375" style="112" customWidth="1"/>
    <col min="7443" max="7443" width="1.7109375" style="112" customWidth="1"/>
    <col min="7444" max="7444" width="0.7109375" style="112" customWidth="1"/>
    <col min="7445" max="7680" width="11.42578125" style="112"/>
    <col min="7681" max="7681" width="0.7109375" style="112" customWidth="1"/>
    <col min="7682" max="7682" width="1.7109375" style="112" customWidth="1"/>
    <col min="7683" max="7683" width="10.7109375" style="112" customWidth="1"/>
    <col min="7684" max="7684" width="8.7109375" style="112" customWidth="1"/>
    <col min="7685" max="7685" width="10.7109375" style="112" customWidth="1"/>
    <col min="7686" max="7687" width="1.7109375" style="112" customWidth="1"/>
    <col min="7688" max="7688" width="6.7109375" style="112" customWidth="1"/>
    <col min="7689" max="7690" width="10.7109375" style="112" customWidth="1"/>
    <col min="7691" max="7691" width="1.7109375" style="112" customWidth="1"/>
    <col min="7692" max="7693" width="8.7109375" style="112" customWidth="1"/>
    <col min="7694" max="7694" width="1.7109375" style="112" customWidth="1"/>
    <col min="7695" max="7696" width="8.7109375" style="112" customWidth="1"/>
    <col min="7697" max="7697" width="1.7109375" style="112" customWidth="1"/>
    <col min="7698" max="7698" width="12.7109375" style="112" customWidth="1"/>
    <col min="7699" max="7699" width="1.7109375" style="112" customWidth="1"/>
    <col min="7700" max="7700" width="0.7109375" style="112" customWidth="1"/>
    <col min="7701" max="7936" width="11.42578125" style="112"/>
    <col min="7937" max="7937" width="0.7109375" style="112" customWidth="1"/>
    <col min="7938" max="7938" width="1.7109375" style="112" customWidth="1"/>
    <col min="7939" max="7939" width="10.7109375" style="112" customWidth="1"/>
    <col min="7940" max="7940" width="8.7109375" style="112" customWidth="1"/>
    <col min="7941" max="7941" width="10.7109375" style="112" customWidth="1"/>
    <col min="7942" max="7943" width="1.7109375" style="112" customWidth="1"/>
    <col min="7944" max="7944" width="6.7109375" style="112" customWidth="1"/>
    <col min="7945" max="7946" width="10.7109375" style="112" customWidth="1"/>
    <col min="7947" max="7947" width="1.7109375" style="112" customWidth="1"/>
    <col min="7948" max="7949" width="8.7109375" style="112" customWidth="1"/>
    <col min="7950" max="7950" width="1.7109375" style="112" customWidth="1"/>
    <col min="7951" max="7952" width="8.7109375" style="112" customWidth="1"/>
    <col min="7953" max="7953" width="1.7109375" style="112" customWidth="1"/>
    <col min="7954" max="7954" width="12.7109375" style="112" customWidth="1"/>
    <col min="7955" max="7955" width="1.7109375" style="112" customWidth="1"/>
    <col min="7956" max="7956" width="0.7109375" style="112" customWidth="1"/>
    <col min="7957" max="8192" width="11.42578125" style="112"/>
    <col min="8193" max="8193" width="0.7109375" style="112" customWidth="1"/>
    <col min="8194" max="8194" width="1.7109375" style="112" customWidth="1"/>
    <col min="8195" max="8195" width="10.7109375" style="112" customWidth="1"/>
    <col min="8196" max="8196" width="8.7109375" style="112" customWidth="1"/>
    <col min="8197" max="8197" width="10.7109375" style="112" customWidth="1"/>
    <col min="8198" max="8199" width="1.7109375" style="112" customWidth="1"/>
    <col min="8200" max="8200" width="6.7109375" style="112" customWidth="1"/>
    <col min="8201" max="8202" width="10.7109375" style="112" customWidth="1"/>
    <col min="8203" max="8203" width="1.7109375" style="112" customWidth="1"/>
    <col min="8204" max="8205" width="8.7109375" style="112" customWidth="1"/>
    <col min="8206" max="8206" width="1.7109375" style="112" customWidth="1"/>
    <col min="8207" max="8208" width="8.7109375" style="112" customWidth="1"/>
    <col min="8209" max="8209" width="1.7109375" style="112" customWidth="1"/>
    <col min="8210" max="8210" width="12.7109375" style="112" customWidth="1"/>
    <col min="8211" max="8211" width="1.7109375" style="112" customWidth="1"/>
    <col min="8212" max="8212" width="0.7109375" style="112" customWidth="1"/>
    <col min="8213" max="8448" width="11.42578125" style="112"/>
    <col min="8449" max="8449" width="0.7109375" style="112" customWidth="1"/>
    <col min="8450" max="8450" width="1.7109375" style="112" customWidth="1"/>
    <col min="8451" max="8451" width="10.7109375" style="112" customWidth="1"/>
    <col min="8452" max="8452" width="8.7109375" style="112" customWidth="1"/>
    <col min="8453" max="8453" width="10.7109375" style="112" customWidth="1"/>
    <col min="8454" max="8455" width="1.7109375" style="112" customWidth="1"/>
    <col min="8456" max="8456" width="6.7109375" style="112" customWidth="1"/>
    <col min="8457" max="8458" width="10.7109375" style="112" customWidth="1"/>
    <col min="8459" max="8459" width="1.7109375" style="112" customWidth="1"/>
    <col min="8460" max="8461" width="8.7109375" style="112" customWidth="1"/>
    <col min="8462" max="8462" width="1.7109375" style="112" customWidth="1"/>
    <col min="8463" max="8464" width="8.7109375" style="112" customWidth="1"/>
    <col min="8465" max="8465" width="1.7109375" style="112" customWidth="1"/>
    <col min="8466" max="8466" width="12.7109375" style="112" customWidth="1"/>
    <col min="8467" max="8467" width="1.7109375" style="112" customWidth="1"/>
    <col min="8468" max="8468" width="0.7109375" style="112" customWidth="1"/>
    <col min="8469" max="8704" width="11.42578125" style="112"/>
    <col min="8705" max="8705" width="0.7109375" style="112" customWidth="1"/>
    <col min="8706" max="8706" width="1.7109375" style="112" customWidth="1"/>
    <col min="8707" max="8707" width="10.7109375" style="112" customWidth="1"/>
    <col min="8708" max="8708" width="8.7109375" style="112" customWidth="1"/>
    <col min="8709" max="8709" width="10.7109375" style="112" customWidth="1"/>
    <col min="8710" max="8711" width="1.7109375" style="112" customWidth="1"/>
    <col min="8712" max="8712" width="6.7109375" style="112" customWidth="1"/>
    <col min="8713" max="8714" width="10.7109375" style="112" customWidth="1"/>
    <col min="8715" max="8715" width="1.7109375" style="112" customWidth="1"/>
    <col min="8716" max="8717" width="8.7109375" style="112" customWidth="1"/>
    <col min="8718" max="8718" width="1.7109375" style="112" customWidth="1"/>
    <col min="8719" max="8720" width="8.7109375" style="112" customWidth="1"/>
    <col min="8721" max="8721" width="1.7109375" style="112" customWidth="1"/>
    <col min="8722" max="8722" width="12.7109375" style="112" customWidth="1"/>
    <col min="8723" max="8723" width="1.7109375" style="112" customWidth="1"/>
    <col min="8724" max="8724" width="0.7109375" style="112" customWidth="1"/>
    <col min="8725" max="8960" width="11.42578125" style="112"/>
    <col min="8961" max="8961" width="0.7109375" style="112" customWidth="1"/>
    <col min="8962" max="8962" width="1.7109375" style="112" customWidth="1"/>
    <col min="8963" max="8963" width="10.7109375" style="112" customWidth="1"/>
    <col min="8964" max="8964" width="8.7109375" style="112" customWidth="1"/>
    <col min="8965" max="8965" width="10.7109375" style="112" customWidth="1"/>
    <col min="8966" max="8967" width="1.7109375" style="112" customWidth="1"/>
    <col min="8968" max="8968" width="6.7109375" style="112" customWidth="1"/>
    <col min="8969" max="8970" width="10.7109375" style="112" customWidth="1"/>
    <col min="8971" max="8971" width="1.7109375" style="112" customWidth="1"/>
    <col min="8972" max="8973" width="8.7109375" style="112" customWidth="1"/>
    <col min="8974" max="8974" width="1.7109375" style="112" customWidth="1"/>
    <col min="8975" max="8976" width="8.7109375" style="112" customWidth="1"/>
    <col min="8977" max="8977" width="1.7109375" style="112" customWidth="1"/>
    <col min="8978" max="8978" width="12.7109375" style="112" customWidth="1"/>
    <col min="8979" max="8979" width="1.7109375" style="112" customWidth="1"/>
    <col min="8980" max="8980" width="0.7109375" style="112" customWidth="1"/>
    <col min="8981" max="9216" width="11.42578125" style="112"/>
    <col min="9217" max="9217" width="0.7109375" style="112" customWidth="1"/>
    <col min="9218" max="9218" width="1.7109375" style="112" customWidth="1"/>
    <col min="9219" max="9219" width="10.7109375" style="112" customWidth="1"/>
    <col min="9220" max="9220" width="8.7109375" style="112" customWidth="1"/>
    <col min="9221" max="9221" width="10.7109375" style="112" customWidth="1"/>
    <col min="9222" max="9223" width="1.7109375" style="112" customWidth="1"/>
    <col min="9224" max="9224" width="6.7109375" style="112" customWidth="1"/>
    <col min="9225" max="9226" width="10.7109375" style="112" customWidth="1"/>
    <col min="9227" max="9227" width="1.7109375" style="112" customWidth="1"/>
    <col min="9228" max="9229" width="8.7109375" style="112" customWidth="1"/>
    <col min="9230" max="9230" width="1.7109375" style="112" customWidth="1"/>
    <col min="9231" max="9232" width="8.7109375" style="112" customWidth="1"/>
    <col min="9233" max="9233" width="1.7109375" style="112" customWidth="1"/>
    <col min="9234" max="9234" width="12.7109375" style="112" customWidth="1"/>
    <col min="9235" max="9235" width="1.7109375" style="112" customWidth="1"/>
    <col min="9236" max="9236" width="0.7109375" style="112" customWidth="1"/>
    <col min="9237" max="9472" width="11.42578125" style="112"/>
    <col min="9473" max="9473" width="0.7109375" style="112" customWidth="1"/>
    <col min="9474" max="9474" width="1.7109375" style="112" customWidth="1"/>
    <col min="9475" max="9475" width="10.7109375" style="112" customWidth="1"/>
    <col min="9476" max="9476" width="8.7109375" style="112" customWidth="1"/>
    <col min="9477" max="9477" width="10.7109375" style="112" customWidth="1"/>
    <col min="9478" max="9479" width="1.7109375" style="112" customWidth="1"/>
    <col min="9480" max="9480" width="6.7109375" style="112" customWidth="1"/>
    <col min="9481" max="9482" width="10.7109375" style="112" customWidth="1"/>
    <col min="9483" max="9483" width="1.7109375" style="112" customWidth="1"/>
    <col min="9484" max="9485" width="8.7109375" style="112" customWidth="1"/>
    <col min="9486" max="9486" width="1.7109375" style="112" customWidth="1"/>
    <col min="9487" max="9488" width="8.7109375" style="112" customWidth="1"/>
    <col min="9489" max="9489" width="1.7109375" style="112" customWidth="1"/>
    <col min="9490" max="9490" width="12.7109375" style="112" customWidth="1"/>
    <col min="9491" max="9491" width="1.7109375" style="112" customWidth="1"/>
    <col min="9492" max="9492" width="0.7109375" style="112" customWidth="1"/>
    <col min="9493" max="9728" width="11.42578125" style="112"/>
    <col min="9729" max="9729" width="0.7109375" style="112" customWidth="1"/>
    <col min="9730" max="9730" width="1.7109375" style="112" customWidth="1"/>
    <col min="9731" max="9731" width="10.7109375" style="112" customWidth="1"/>
    <col min="9732" max="9732" width="8.7109375" style="112" customWidth="1"/>
    <col min="9733" max="9733" width="10.7109375" style="112" customWidth="1"/>
    <col min="9734" max="9735" width="1.7109375" style="112" customWidth="1"/>
    <col min="9736" max="9736" width="6.7109375" style="112" customWidth="1"/>
    <col min="9737" max="9738" width="10.7109375" style="112" customWidth="1"/>
    <col min="9739" max="9739" width="1.7109375" style="112" customWidth="1"/>
    <col min="9740" max="9741" width="8.7109375" style="112" customWidth="1"/>
    <col min="9742" max="9742" width="1.7109375" style="112" customWidth="1"/>
    <col min="9743" max="9744" width="8.7109375" style="112" customWidth="1"/>
    <col min="9745" max="9745" width="1.7109375" style="112" customWidth="1"/>
    <col min="9746" max="9746" width="12.7109375" style="112" customWidth="1"/>
    <col min="9747" max="9747" width="1.7109375" style="112" customWidth="1"/>
    <col min="9748" max="9748" width="0.7109375" style="112" customWidth="1"/>
    <col min="9749" max="9984" width="11.42578125" style="112"/>
    <col min="9985" max="9985" width="0.7109375" style="112" customWidth="1"/>
    <col min="9986" max="9986" width="1.7109375" style="112" customWidth="1"/>
    <col min="9987" max="9987" width="10.7109375" style="112" customWidth="1"/>
    <col min="9988" max="9988" width="8.7109375" style="112" customWidth="1"/>
    <col min="9989" max="9989" width="10.7109375" style="112" customWidth="1"/>
    <col min="9990" max="9991" width="1.7109375" style="112" customWidth="1"/>
    <col min="9992" max="9992" width="6.7109375" style="112" customWidth="1"/>
    <col min="9993" max="9994" width="10.7109375" style="112" customWidth="1"/>
    <col min="9995" max="9995" width="1.7109375" style="112" customWidth="1"/>
    <col min="9996" max="9997" width="8.7109375" style="112" customWidth="1"/>
    <col min="9998" max="9998" width="1.7109375" style="112" customWidth="1"/>
    <col min="9999" max="10000" width="8.7109375" style="112" customWidth="1"/>
    <col min="10001" max="10001" width="1.7109375" style="112" customWidth="1"/>
    <col min="10002" max="10002" width="12.7109375" style="112" customWidth="1"/>
    <col min="10003" max="10003" width="1.7109375" style="112" customWidth="1"/>
    <col min="10004" max="10004" width="0.7109375" style="112" customWidth="1"/>
    <col min="10005" max="10240" width="11.42578125" style="112"/>
    <col min="10241" max="10241" width="0.7109375" style="112" customWidth="1"/>
    <col min="10242" max="10242" width="1.7109375" style="112" customWidth="1"/>
    <col min="10243" max="10243" width="10.7109375" style="112" customWidth="1"/>
    <col min="10244" max="10244" width="8.7109375" style="112" customWidth="1"/>
    <col min="10245" max="10245" width="10.7109375" style="112" customWidth="1"/>
    <col min="10246" max="10247" width="1.7109375" style="112" customWidth="1"/>
    <col min="10248" max="10248" width="6.7109375" style="112" customWidth="1"/>
    <col min="10249" max="10250" width="10.7109375" style="112" customWidth="1"/>
    <col min="10251" max="10251" width="1.7109375" style="112" customWidth="1"/>
    <col min="10252" max="10253" width="8.7109375" style="112" customWidth="1"/>
    <col min="10254" max="10254" width="1.7109375" style="112" customWidth="1"/>
    <col min="10255" max="10256" width="8.7109375" style="112" customWidth="1"/>
    <col min="10257" max="10257" width="1.7109375" style="112" customWidth="1"/>
    <col min="10258" max="10258" width="12.7109375" style="112" customWidth="1"/>
    <col min="10259" max="10259" width="1.7109375" style="112" customWidth="1"/>
    <col min="10260" max="10260" width="0.7109375" style="112" customWidth="1"/>
    <col min="10261" max="10496" width="11.42578125" style="112"/>
    <col min="10497" max="10497" width="0.7109375" style="112" customWidth="1"/>
    <col min="10498" max="10498" width="1.7109375" style="112" customWidth="1"/>
    <col min="10499" max="10499" width="10.7109375" style="112" customWidth="1"/>
    <col min="10500" max="10500" width="8.7109375" style="112" customWidth="1"/>
    <col min="10501" max="10501" width="10.7109375" style="112" customWidth="1"/>
    <col min="10502" max="10503" width="1.7109375" style="112" customWidth="1"/>
    <col min="10504" max="10504" width="6.7109375" style="112" customWidth="1"/>
    <col min="10505" max="10506" width="10.7109375" style="112" customWidth="1"/>
    <col min="10507" max="10507" width="1.7109375" style="112" customWidth="1"/>
    <col min="10508" max="10509" width="8.7109375" style="112" customWidth="1"/>
    <col min="10510" max="10510" width="1.7109375" style="112" customWidth="1"/>
    <col min="10511" max="10512" width="8.7109375" style="112" customWidth="1"/>
    <col min="10513" max="10513" width="1.7109375" style="112" customWidth="1"/>
    <col min="10514" max="10514" width="12.7109375" style="112" customWidth="1"/>
    <col min="10515" max="10515" width="1.7109375" style="112" customWidth="1"/>
    <col min="10516" max="10516" width="0.7109375" style="112" customWidth="1"/>
    <col min="10517" max="10752" width="11.42578125" style="112"/>
    <col min="10753" max="10753" width="0.7109375" style="112" customWidth="1"/>
    <col min="10754" max="10754" width="1.7109375" style="112" customWidth="1"/>
    <col min="10755" max="10755" width="10.7109375" style="112" customWidth="1"/>
    <col min="10756" max="10756" width="8.7109375" style="112" customWidth="1"/>
    <col min="10757" max="10757" width="10.7109375" style="112" customWidth="1"/>
    <col min="10758" max="10759" width="1.7109375" style="112" customWidth="1"/>
    <col min="10760" max="10760" width="6.7109375" style="112" customWidth="1"/>
    <col min="10761" max="10762" width="10.7109375" style="112" customWidth="1"/>
    <col min="10763" max="10763" width="1.7109375" style="112" customWidth="1"/>
    <col min="10764" max="10765" width="8.7109375" style="112" customWidth="1"/>
    <col min="10766" max="10766" width="1.7109375" style="112" customWidth="1"/>
    <col min="10767" max="10768" width="8.7109375" style="112" customWidth="1"/>
    <col min="10769" max="10769" width="1.7109375" style="112" customWidth="1"/>
    <col min="10770" max="10770" width="12.7109375" style="112" customWidth="1"/>
    <col min="10771" max="10771" width="1.7109375" style="112" customWidth="1"/>
    <col min="10772" max="10772" width="0.7109375" style="112" customWidth="1"/>
    <col min="10773" max="11008" width="11.42578125" style="112"/>
    <col min="11009" max="11009" width="0.7109375" style="112" customWidth="1"/>
    <col min="11010" max="11010" width="1.7109375" style="112" customWidth="1"/>
    <col min="11011" max="11011" width="10.7109375" style="112" customWidth="1"/>
    <col min="11012" max="11012" width="8.7109375" style="112" customWidth="1"/>
    <col min="11013" max="11013" width="10.7109375" style="112" customWidth="1"/>
    <col min="11014" max="11015" width="1.7109375" style="112" customWidth="1"/>
    <col min="11016" max="11016" width="6.7109375" style="112" customWidth="1"/>
    <col min="11017" max="11018" width="10.7109375" style="112" customWidth="1"/>
    <col min="11019" max="11019" width="1.7109375" style="112" customWidth="1"/>
    <col min="11020" max="11021" width="8.7109375" style="112" customWidth="1"/>
    <col min="11022" max="11022" width="1.7109375" style="112" customWidth="1"/>
    <col min="11023" max="11024" width="8.7109375" style="112" customWidth="1"/>
    <col min="11025" max="11025" width="1.7109375" style="112" customWidth="1"/>
    <col min="11026" max="11026" width="12.7109375" style="112" customWidth="1"/>
    <col min="11027" max="11027" width="1.7109375" style="112" customWidth="1"/>
    <col min="11028" max="11028" width="0.7109375" style="112" customWidth="1"/>
    <col min="11029" max="11264" width="11.42578125" style="112"/>
    <col min="11265" max="11265" width="0.7109375" style="112" customWidth="1"/>
    <col min="11266" max="11266" width="1.7109375" style="112" customWidth="1"/>
    <col min="11267" max="11267" width="10.7109375" style="112" customWidth="1"/>
    <col min="11268" max="11268" width="8.7109375" style="112" customWidth="1"/>
    <col min="11269" max="11269" width="10.7109375" style="112" customWidth="1"/>
    <col min="11270" max="11271" width="1.7109375" style="112" customWidth="1"/>
    <col min="11272" max="11272" width="6.7109375" style="112" customWidth="1"/>
    <col min="11273" max="11274" width="10.7109375" style="112" customWidth="1"/>
    <col min="11275" max="11275" width="1.7109375" style="112" customWidth="1"/>
    <col min="11276" max="11277" width="8.7109375" style="112" customWidth="1"/>
    <col min="11278" max="11278" width="1.7109375" style="112" customWidth="1"/>
    <col min="11279" max="11280" width="8.7109375" style="112" customWidth="1"/>
    <col min="11281" max="11281" width="1.7109375" style="112" customWidth="1"/>
    <col min="11282" max="11282" width="12.7109375" style="112" customWidth="1"/>
    <col min="11283" max="11283" width="1.7109375" style="112" customWidth="1"/>
    <col min="11284" max="11284" width="0.7109375" style="112" customWidth="1"/>
    <col min="11285" max="11520" width="11.42578125" style="112"/>
    <col min="11521" max="11521" width="0.7109375" style="112" customWidth="1"/>
    <col min="11522" max="11522" width="1.7109375" style="112" customWidth="1"/>
    <col min="11523" max="11523" width="10.7109375" style="112" customWidth="1"/>
    <col min="11524" max="11524" width="8.7109375" style="112" customWidth="1"/>
    <col min="11525" max="11525" width="10.7109375" style="112" customWidth="1"/>
    <col min="11526" max="11527" width="1.7109375" style="112" customWidth="1"/>
    <col min="11528" max="11528" width="6.7109375" style="112" customWidth="1"/>
    <col min="11529" max="11530" width="10.7109375" style="112" customWidth="1"/>
    <col min="11531" max="11531" width="1.7109375" style="112" customWidth="1"/>
    <col min="11532" max="11533" width="8.7109375" style="112" customWidth="1"/>
    <col min="11534" max="11534" width="1.7109375" style="112" customWidth="1"/>
    <col min="11535" max="11536" width="8.7109375" style="112" customWidth="1"/>
    <col min="11537" max="11537" width="1.7109375" style="112" customWidth="1"/>
    <col min="11538" max="11538" width="12.7109375" style="112" customWidth="1"/>
    <col min="11539" max="11539" width="1.7109375" style="112" customWidth="1"/>
    <col min="11540" max="11540" width="0.7109375" style="112" customWidth="1"/>
    <col min="11541" max="11776" width="11.42578125" style="112"/>
    <col min="11777" max="11777" width="0.7109375" style="112" customWidth="1"/>
    <col min="11778" max="11778" width="1.7109375" style="112" customWidth="1"/>
    <col min="11779" max="11779" width="10.7109375" style="112" customWidth="1"/>
    <col min="11780" max="11780" width="8.7109375" style="112" customWidth="1"/>
    <col min="11781" max="11781" width="10.7109375" style="112" customWidth="1"/>
    <col min="11782" max="11783" width="1.7109375" style="112" customWidth="1"/>
    <col min="11784" max="11784" width="6.7109375" style="112" customWidth="1"/>
    <col min="11785" max="11786" width="10.7109375" style="112" customWidth="1"/>
    <col min="11787" max="11787" width="1.7109375" style="112" customWidth="1"/>
    <col min="11788" max="11789" width="8.7109375" style="112" customWidth="1"/>
    <col min="11790" max="11790" width="1.7109375" style="112" customWidth="1"/>
    <col min="11791" max="11792" width="8.7109375" style="112" customWidth="1"/>
    <col min="11793" max="11793" width="1.7109375" style="112" customWidth="1"/>
    <col min="11794" max="11794" width="12.7109375" style="112" customWidth="1"/>
    <col min="11795" max="11795" width="1.7109375" style="112" customWidth="1"/>
    <col min="11796" max="11796" width="0.7109375" style="112" customWidth="1"/>
    <col min="11797" max="12032" width="11.42578125" style="112"/>
    <col min="12033" max="12033" width="0.7109375" style="112" customWidth="1"/>
    <col min="12034" max="12034" width="1.7109375" style="112" customWidth="1"/>
    <col min="12035" max="12035" width="10.7109375" style="112" customWidth="1"/>
    <col min="12036" max="12036" width="8.7109375" style="112" customWidth="1"/>
    <col min="12037" max="12037" width="10.7109375" style="112" customWidth="1"/>
    <col min="12038" max="12039" width="1.7109375" style="112" customWidth="1"/>
    <col min="12040" max="12040" width="6.7109375" style="112" customWidth="1"/>
    <col min="12041" max="12042" width="10.7109375" style="112" customWidth="1"/>
    <col min="12043" max="12043" width="1.7109375" style="112" customWidth="1"/>
    <col min="12044" max="12045" width="8.7109375" style="112" customWidth="1"/>
    <col min="12046" max="12046" width="1.7109375" style="112" customWidth="1"/>
    <col min="12047" max="12048" width="8.7109375" style="112" customWidth="1"/>
    <col min="12049" max="12049" width="1.7109375" style="112" customWidth="1"/>
    <col min="12050" max="12050" width="12.7109375" style="112" customWidth="1"/>
    <col min="12051" max="12051" width="1.7109375" style="112" customWidth="1"/>
    <col min="12052" max="12052" width="0.7109375" style="112" customWidth="1"/>
    <col min="12053" max="12288" width="11.42578125" style="112"/>
    <col min="12289" max="12289" width="0.7109375" style="112" customWidth="1"/>
    <col min="12290" max="12290" width="1.7109375" style="112" customWidth="1"/>
    <col min="12291" max="12291" width="10.7109375" style="112" customWidth="1"/>
    <col min="12292" max="12292" width="8.7109375" style="112" customWidth="1"/>
    <col min="12293" max="12293" width="10.7109375" style="112" customWidth="1"/>
    <col min="12294" max="12295" width="1.7109375" style="112" customWidth="1"/>
    <col min="12296" max="12296" width="6.7109375" style="112" customWidth="1"/>
    <col min="12297" max="12298" width="10.7109375" style="112" customWidth="1"/>
    <col min="12299" max="12299" width="1.7109375" style="112" customWidth="1"/>
    <col min="12300" max="12301" width="8.7109375" style="112" customWidth="1"/>
    <col min="12302" max="12302" width="1.7109375" style="112" customWidth="1"/>
    <col min="12303" max="12304" width="8.7109375" style="112" customWidth="1"/>
    <col min="12305" max="12305" width="1.7109375" style="112" customWidth="1"/>
    <col min="12306" max="12306" width="12.7109375" style="112" customWidth="1"/>
    <col min="12307" max="12307" width="1.7109375" style="112" customWidth="1"/>
    <col min="12308" max="12308" width="0.7109375" style="112" customWidth="1"/>
    <col min="12309" max="12544" width="11.42578125" style="112"/>
    <col min="12545" max="12545" width="0.7109375" style="112" customWidth="1"/>
    <col min="12546" max="12546" width="1.7109375" style="112" customWidth="1"/>
    <col min="12547" max="12547" width="10.7109375" style="112" customWidth="1"/>
    <col min="12548" max="12548" width="8.7109375" style="112" customWidth="1"/>
    <col min="12549" max="12549" width="10.7109375" style="112" customWidth="1"/>
    <col min="12550" max="12551" width="1.7109375" style="112" customWidth="1"/>
    <col min="12552" max="12552" width="6.7109375" style="112" customWidth="1"/>
    <col min="12553" max="12554" width="10.7109375" style="112" customWidth="1"/>
    <col min="12555" max="12555" width="1.7109375" style="112" customWidth="1"/>
    <col min="12556" max="12557" width="8.7109375" style="112" customWidth="1"/>
    <col min="12558" max="12558" width="1.7109375" style="112" customWidth="1"/>
    <col min="12559" max="12560" width="8.7109375" style="112" customWidth="1"/>
    <col min="12561" max="12561" width="1.7109375" style="112" customWidth="1"/>
    <col min="12562" max="12562" width="12.7109375" style="112" customWidth="1"/>
    <col min="12563" max="12563" width="1.7109375" style="112" customWidth="1"/>
    <col min="12564" max="12564" width="0.7109375" style="112" customWidth="1"/>
    <col min="12565" max="12800" width="11.42578125" style="112"/>
    <col min="12801" max="12801" width="0.7109375" style="112" customWidth="1"/>
    <col min="12802" max="12802" width="1.7109375" style="112" customWidth="1"/>
    <col min="12803" max="12803" width="10.7109375" style="112" customWidth="1"/>
    <col min="12804" max="12804" width="8.7109375" style="112" customWidth="1"/>
    <col min="12805" max="12805" width="10.7109375" style="112" customWidth="1"/>
    <col min="12806" max="12807" width="1.7109375" style="112" customWidth="1"/>
    <col min="12808" max="12808" width="6.7109375" style="112" customWidth="1"/>
    <col min="12809" max="12810" width="10.7109375" style="112" customWidth="1"/>
    <col min="12811" max="12811" width="1.7109375" style="112" customWidth="1"/>
    <col min="12812" max="12813" width="8.7109375" style="112" customWidth="1"/>
    <col min="12814" max="12814" width="1.7109375" style="112" customWidth="1"/>
    <col min="12815" max="12816" width="8.7109375" style="112" customWidth="1"/>
    <col min="12817" max="12817" width="1.7109375" style="112" customWidth="1"/>
    <col min="12818" max="12818" width="12.7109375" style="112" customWidth="1"/>
    <col min="12819" max="12819" width="1.7109375" style="112" customWidth="1"/>
    <col min="12820" max="12820" width="0.7109375" style="112" customWidth="1"/>
    <col min="12821" max="13056" width="11.42578125" style="112"/>
    <col min="13057" max="13057" width="0.7109375" style="112" customWidth="1"/>
    <col min="13058" max="13058" width="1.7109375" style="112" customWidth="1"/>
    <col min="13059" max="13059" width="10.7109375" style="112" customWidth="1"/>
    <col min="13060" max="13060" width="8.7109375" style="112" customWidth="1"/>
    <col min="13061" max="13061" width="10.7109375" style="112" customWidth="1"/>
    <col min="13062" max="13063" width="1.7109375" style="112" customWidth="1"/>
    <col min="13064" max="13064" width="6.7109375" style="112" customWidth="1"/>
    <col min="13065" max="13066" width="10.7109375" style="112" customWidth="1"/>
    <col min="13067" max="13067" width="1.7109375" style="112" customWidth="1"/>
    <col min="13068" max="13069" width="8.7109375" style="112" customWidth="1"/>
    <col min="13070" max="13070" width="1.7109375" style="112" customWidth="1"/>
    <col min="13071" max="13072" width="8.7109375" style="112" customWidth="1"/>
    <col min="13073" max="13073" width="1.7109375" style="112" customWidth="1"/>
    <col min="13074" max="13074" width="12.7109375" style="112" customWidth="1"/>
    <col min="13075" max="13075" width="1.7109375" style="112" customWidth="1"/>
    <col min="13076" max="13076" width="0.7109375" style="112" customWidth="1"/>
    <col min="13077" max="13312" width="11.42578125" style="112"/>
    <col min="13313" max="13313" width="0.7109375" style="112" customWidth="1"/>
    <col min="13314" max="13314" width="1.7109375" style="112" customWidth="1"/>
    <col min="13315" max="13315" width="10.7109375" style="112" customWidth="1"/>
    <col min="13316" max="13316" width="8.7109375" style="112" customWidth="1"/>
    <col min="13317" max="13317" width="10.7109375" style="112" customWidth="1"/>
    <col min="13318" max="13319" width="1.7109375" style="112" customWidth="1"/>
    <col min="13320" max="13320" width="6.7109375" style="112" customWidth="1"/>
    <col min="13321" max="13322" width="10.7109375" style="112" customWidth="1"/>
    <col min="13323" max="13323" width="1.7109375" style="112" customWidth="1"/>
    <col min="13324" max="13325" width="8.7109375" style="112" customWidth="1"/>
    <col min="13326" max="13326" width="1.7109375" style="112" customWidth="1"/>
    <col min="13327" max="13328" width="8.7109375" style="112" customWidth="1"/>
    <col min="13329" max="13329" width="1.7109375" style="112" customWidth="1"/>
    <col min="13330" max="13330" width="12.7109375" style="112" customWidth="1"/>
    <col min="13331" max="13331" width="1.7109375" style="112" customWidth="1"/>
    <col min="13332" max="13332" width="0.7109375" style="112" customWidth="1"/>
    <col min="13333" max="13568" width="11.42578125" style="112"/>
    <col min="13569" max="13569" width="0.7109375" style="112" customWidth="1"/>
    <col min="13570" max="13570" width="1.7109375" style="112" customWidth="1"/>
    <col min="13571" max="13571" width="10.7109375" style="112" customWidth="1"/>
    <col min="13572" max="13572" width="8.7109375" style="112" customWidth="1"/>
    <col min="13573" max="13573" width="10.7109375" style="112" customWidth="1"/>
    <col min="13574" max="13575" width="1.7109375" style="112" customWidth="1"/>
    <col min="13576" max="13576" width="6.7109375" style="112" customWidth="1"/>
    <col min="13577" max="13578" width="10.7109375" style="112" customWidth="1"/>
    <col min="13579" max="13579" width="1.7109375" style="112" customWidth="1"/>
    <col min="13580" max="13581" width="8.7109375" style="112" customWidth="1"/>
    <col min="13582" max="13582" width="1.7109375" style="112" customWidth="1"/>
    <col min="13583" max="13584" width="8.7109375" style="112" customWidth="1"/>
    <col min="13585" max="13585" width="1.7109375" style="112" customWidth="1"/>
    <col min="13586" max="13586" width="12.7109375" style="112" customWidth="1"/>
    <col min="13587" max="13587" width="1.7109375" style="112" customWidth="1"/>
    <col min="13588" max="13588" width="0.7109375" style="112" customWidth="1"/>
    <col min="13589" max="13824" width="11.42578125" style="112"/>
    <col min="13825" max="13825" width="0.7109375" style="112" customWidth="1"/>
    <col min="13826" max="13826" width="1.7109375" style="112" customWidth="1"/>
    <col min="13827" max="13827" width="10.7109375" style="112" customWidth="1"/>
    <col min="13828" max="13828" width="8.7109375" style="112" customWidth="1"/>
    <col min="13829" max="13829" width="10.7109375" style="112" customWidth="1"/>
    <col min="13830" max="13831" width="1.7109375" style="112" customWidth="1"/>
    <col min="13832" max="13832" width="6.7109375" style="112" customWidth="1"/>
    <col min="13833" max="13834" width="10.7109375" style="112" customWidth="1"/>
    <col min="13835" max="13835" width="1.7109375" style="112" customWidth="1"/>
    <col min="13836" max="13837" width="8.7109375" style="112" customWidth="1"/>
    <col min="13838" max="13838" width="1.7109375" style="112" customWidth="1"/>
    <col min="13839" max="13840" width="8.7109375" style="112" customWidth="1"/>
    <col min="13841" max="13841" width="1.7109375" style="112" customWidth="1"/>
    <col min="13842" max="13842" width="12.7109375" style="112" customWidth="1"/>
    <col min="13843" max="13843" width="1.7109375" style="112" customWidth="1"/>
    <col min="13844" max="13844" width="0.7109375" style="112" customWidth="1"/>
    <col min="13845" max="14080" width="11.42578125" style="112"/>
    <col min="14081" max="14081" width="0.7109375" style="112" customWidth="1"/>
    <col min="14082" max="14082" width="1.7109375" style="112" customWidth="1"/>
    <col min="14083" max="14083" width="10.7109375" style="112" customWidth="1"/>
    <col min="14084" max="14084" width="8.7109375" style="112" customWidth="1"/>
    <col min="14085" max="14085" width="10.7109375" style="112" customWidth="1"/>
    <col min="14086" max="14087" width="1.7109375" style="112" customWidth="1"/>
    <col min="14088" max="14088" width="6.7109375" style="112" customWidth="1"/>
    <col min="14089" max="14090" width="10.7109375" style="112" customWidth="1"/>
    <col min="14091" max="14091" width="1.7109375" style="112" customWidth="1"/>
    <col min="14092" max="14093" width="8.7109375" style="112" customWidth="1"/>
    <col min="14094" max="14094" width="1.7109375" style="112" customWidth="1"/>
    <col min="14095" max="14096" width="8.7109375" style="112" customWidth="1"/>
    <col min="14097" max="14097" width="1.7109375" style="112" customWidth="1"/>
    <col min="14098" max="14098" width="12.7109375" style="112" customWidth="1"/>
    <col min="14099" max="14099" width="1.7109375" style="112" customWidth="1"/>
    <col min="14100" max="14100" width="0.7109375" style="112" customWidth="1"/>
    <col min="14101" max="14336" width="11.42578125" style="112"/>
    <col min="14337" max="14337" width="0.7109375" style="112" customWidth="1"/>
    <col min="14338" max="14338" width="1.7109375" style="112" customWidth="1"/>
    <col min="14339" max="14339" width="10.7109375" style="112" customWidth="1"/>
    <col min="14340" max="14340" width="8.7109375" style="112" customWidth="1"/>
    <col min="14341" max="14341" width="10.7109375" style="112" customWidth="1"/>
    <col min="14342" max="14343" width="1.7109375" style="112" customWidth="1"/>
    <col min="14344" max="14344" width="6.7109375" style="112" customWidth="1"/>
    <col min="14345" max="14346" width="10.7109375" style="112" customWidth="1"/>
    <col min="14347" max="14347" width="1.7109375" style="112" customWidth="1"/>
    <col min="14348" max="14349" width="8.7109375" style="112" customWidth="1"/>
    <col min="14350" max="14350" width="1.7109375" style="112" customWidth="1"/>
    <col min="14351" max="14352" width="8.7109375" style="112" customWidth="1"/>
    <col min="14353" max="14353" width="1.7109375" style="112" customWidth="1"/>
    <col min="14354" max="14354" width="12.7109375" style="112" customWidth="1"/>
    <col min="14355" max="14355" width="1.7109375" style="112" customWidth="1"/>
    <col min="14356" max="14356" width="0.7109375" style="112" customWidth="1"/>
    <col min="14357" max="14592" width="11.42578125" style="112"/>
    <col min="14593" max="14593" width="0.7109375" style="112" customWidth="1"/>
    <col min="14594" max="14594" width="1.7109375" style="112" customWidth="1"/>
    <col min="14595" max="14595" width="10.7109375" style="112" customWidth="1"/>
    <col min="14596" max="14596" width="8.7109375" style="112" customWidth="1"/>
    <col min="14597" max="14597" width="10.7109375" style="112" customWidth="1"/>
    <col min="14598" max="14599" width="1.7109375" style="112" customWidth="1"/>
    <col min="14600" max="14600" width="6.7109375" style="112" customWidth="1"/>
    <col min="14601" max="14602" width="10.7109375" style="112" customWidth="1"/>
    <col min="14603" max="14603" width="1.7109375" style="112" customWidth="1"/>
    <col min="14604" max="14605" width="8.7109375" style="112" customWidth="1"/>
    <col min="14606" max="14606" width="1.7109375" style="112" customWidth="1"/>
    <col min="14607" max="14608" width="8.7109375" style="112" customWidth="1"/>
    <col min="14609" max="14609" width="1.7109375" style="112" customWidth="1"/>
    <col min="14610" max="14610" width="12.7109375" style="112" customWidth="1"/>
    <col min="14611" max="14611" width="1.7109375" style="112" customWidth="1"/>
    <col min="14612" max="14612" width="0.7109375" style="112" customWidth="1"/>
    <col min="14613" max="14848" width="11.42578125" style="112"/>
    <col min="14849" max="14849" width="0.7109375" style="112" customWidth="1"/>
    <col min="14850" max="14850" width="1.7109375" style="112" customWidth="1"/>
    <col min="14851" max="14851" width="10.7109375" style="112" customWidth="1"/>
    <col min="14852" max="14852" width="8.7109375" style="112" customWidth="1"/>
    <col min="14853" max="14853" width="10.7109375" style="112" customWidth="1"/>
    <col min="14854" max="14855" width="1.7109375" style="112" customWidth="1"/>
    <col min="14856" max="14856" width="6.7109375" style="112" customWidth="1"/>
    <col min="14857" max="14858" width="10.7109375" style="112" customWidth="1"/>
    <col min="14859" max="14859" width="1.7109375" style="112" customWidth="1"/>
    <col min="14860" max="14861" width="8.7109375" style="112" customWidth="1"/>
    <col min="14862" max="14862" width="1.7109375" style="112" customWidth="1"/>
    <col min="14863" max="14864" width="8.7109375" style="112" customWidth="1"/>
    <col min="14865" max="14865" width="1.7109375" style="112" customWidth="1"/>
    <col min="14866" max="14866" width="12.7109375" style="112" customWidth="1"/>
    <col min="14867" max="14867" width="1.7109375" style="112" customWidth="1"/>
    <col min="14868" max="14868" width="0.7109375" style="112" customWidth="1"/>
    <col min="14869" max="15104" width="11.42578125" style="112"/>
    <col min="15105" max="15105" width="0.7109375" style="112" customWidth="1"/>
    <col min="15106" max="15106" width="1.7109375" style="112" customWidth="1"/>
    <col min="15107" max="15107" width="10.7109375" style="112" customWidth="1"/>
    <col min="15108" max="15108" width="8.7109375" style="112" customWidth="1"/>
    <col min="15109" max="15109" width="10.7109375" style="112" customWidth="1"/>
    <col min="15110" max="15111" width="1.7109375" style="112" customWidth="1"/>
    <col min="15112" max="15112" width="6.7109375" style="112" customWidth="1"/>
    <col min="15113" max="15114" width="10.7109375" style="112" customWidth="1"/>
    <col min="15115" max="15115" width="1.7109375" style="112" customWidth="1"/>
    <col min="15116" max="15117" width="8.7109375" style="112" customWidth="1"/>
    <col min="15118" max="15118" width="1.7109375" style="112" customWidth="1"/>
    <col min="15119" max="15120" width="8.7109375" style="112" customWidth="1"/>
    <col min="15121" max="15121" width="1.7109375" style="112" customWidth="1"/>
    <col min="15122" max="15122" width="12.7109375" style="112" customWidth="1"/>
    <col min="15123" max="15123" width="1.7109375" style="112" customWidth="1"/>
    <col min="15124" max="15124" width="0.7109375" style="112" customWidth="1"/>
    <col min="15125" max="15360" width="11.42578125" style="112"/>
    <col min="15361" max="15361" width="0.7109375" style="112" customWidth="1"/>
    <col min="15362" max="15362" width="1.7109375" style="112" customWidth="1"/>
    <col min="15363" max="15363" width="10.7109375" style="112" customWidth="1"/>
    <col min="15364" max="15364" width="8.7109375" style="112" customWidth="1"/>
    <col min="15365" max="15365" width="10.7109375" style="112" customWidth="1"/>
    <col min="15366" max="15367" width="1.7109375" style="112" customWidth="1"/>
    <col min="15368" max="15368" width="6.7109375" style="112" customWidth="1"/>
    <col min="15369" max="15370" width="10.7109375" style="112" customWidth="1"/>
    <col min="15371" max="15371" width="1.7109375" style="112" customWidth="1"/>
    <col min="15372" max="15373" width="8.7109375" style="112" customWidth="1"/>
    <col min="15374" max="15374" width="1.7109375" style="112" customWidth="1"/>
    <col min="15375" max="15376" width="8.7109375" style="112" customWidth="1"/>
    <col min="15377" max="15377" width="1.7109375" style="112" customWidth="1"/>
    <col min="15378" max="15378" width="12.7109375" style="112" customWidth="1"/>
    <col min="15379" max="15379" width="1.7109375" style="112" customWidth="1"/>
    <col min="15380" max="15380" width="0.7109375" style="112" customWidth="1"/>
    <col min="15381" max="15616" width="11.42578125" style="112"/>
    <col min="15617" max="15617" width="0.7109375" style="112" customWidth="1"/>
    <col min="15618" max="15618" width="1.7109375" style="112" customWidth="1"/>
    <col min="15619" max="15619" width="10.7109375" style="112" customWidth="1"/>
    <col min="15620" max="15620" width="8.7109375" style="112" customWidth="1"/>
    <col min="15621" max="15621" width="10.7109375" style="112" customWidth="1"/>
    <col min="15622" max="15623" width="1.7109375" style="112" customWidth="1"/>
    <col min="15624" max="15624" width="6.7109375" style="112" customWidth="1"/>
    <col min="15625" max="15626" width="10.7109375" style="112" customWidth="1"/>
    <col min="15627" max="15627" width="1.7109375" style="112" customWidth="1"/>
    <col min="15628" max="15629" width="8.7109375" style="112" customWidth="1"/>
    <col min="15630" max="15630" width="1.7109375" style="112" customWidth="1"/>
    <col min="15631" max="15632" width="8.7109375" style="112" customWidth="1"/>
    <col min="15633" max="15633" width="1.7109375" style="112" customWidth="1"/>
    <col min="15634" max="15634" width="12.7109375" style="112" customWidth="1"/>
    <col min="15635" max="15635" width="1.7109375" style="112" customWidth="1"/>
    <col min="15636" max="15636" width="0.7109375" style="112" customWidth="1"/>
    <col min="15637" max="15872" width="11.42578125" style="112"/>
    <col min="15873" max="15873" width="0.7109375" style="112" customWidth="1"/>
    <col min="15874" max="15874" width="1.7109375" style="112" customWidth="1"/>
    <col min="15875" max="15875" width="10.7109375" style="112" customWidth="1"/>
    <col min="15876" max="15876" width="8.7109375" style="112" customWidth="1"/>
    <col min="15877" max="15877" width="10.7109375" style="112" customWidth="1"/>
    <col min="15878" max="15879" width="1.7109375" style="112" customWidth="1"/>
    <col min="15880" max="15880" width="6.7109375" style="112" customWidth="1"/>
    <col min="15881" max="15882" width="10.7109375" style="112" customWidth="1"/>
    <col min="15883" max="15883" width="1.7109375" style="112" customWidth="1"/>
    <col min="15884" max="15885" width="8.7109375" style="112" customWidth="1"/>
    <col min="15886" max="15886" width="1.7109375" style="112" customWidth="1"/>
    <col min="15887" max="15888" width="8.7109375" style="112" customWidth="1"/>
    <col min="15889" max="15889" width="1.7109375" style="112" customWidth="1"/>
    <col min="15890" max="15890" width="12.7109375" style="112" customWidth="1"/>
    <col min="15891" max="15891" width="1.7109375" style="112" customWidth="1"/>
    <col min="15892" max="15892" width="0.7109375" style="112" customWidth="1"/>
    <col min="15893" max="16128" width="11.42578125" style="112"/>
    <col min="16129" max="16129" width="0.7109375" style="112" customWidth="1"/>
    <col min="16130" max="16130" width="1.7109375" style="112" customWidth="1"/>
    <col min="16131" max="16131" width="10.7109375" style="112" customWidth="1"/>
    <col min="16132" max="16132" width="8.7109375" style="112" customWidth="1"/>
    <col min="16133" max="16133" width="10.7109375" style="112" customWidth="1"/>
    <col min="16134" max="16135" width="1.7109375" style="112" customWidth="1"/>
    <col min="16136" max="16136" width="6.7109375" style="112" customWidth="1"/>
    <col min="16137" max="16138" width="10.7109375" style="112" customWidth="1"/>
    <col min="16139" max="16139" width="1.7109375" style="112" customWidth="1"/>
    <col min="16140" max="16141" width="8.7109375" style="112" customWidth="1"/>
    <col min="16142" max="16142" width="1.7109375" style="112" customWidth="1"/>
    <col min="16143" max="16144" width="8.7109375" style="112" customWidth="1"/>
    <col min="16145" max="16145" width="1.7109375" style="112" customWidth="1"/>
    <col min="16146" max="16146" width="12.7109375" style="112" customWidth="1"/>
    <col min="16147" max="16147" width="1.7109375" style="112" customWidth="1"/>
    <col min="16148" max="16148" width="0.7109375" style="112" customWidth="1"/>
    <col min="16149" max="16384" width="11.42578125" style="112"/>
  </cols>
  <sheetData>
    <row r="1" spans="2:19" ht="6" customHeight="1" thickBot="1"/>
    <row r="2" spans="2:19" ht="5.25" customHeight="1"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5"/>
    </row>
    <row r="3" spans="2:19" ht="16.5" customHeight="1">
      <c r="B3" s="116"/>
      <c r="C3" s="263" t="str">
        <f>"Versie"&amp;" "&amp;Info!C3</f>
        <v>Versie 26.6</v>
      </c>
      <c r="D3" s="117"/>
      <c r="E3" s="117"/>
      <c r="F3" s="117"/>
      <c r="G3" s="117"/>
      <c r="H3" s="117"/>
      <c r="I3" s="346" t="s">
        <v>14</v>
      </c>
      <c r="J3" s="346"/>
      <c r="K3" s="346"/>
      <c r="L3" s="346"/>
      <c r="M3" s="117"/>
      <c r="N3" s="117"/>
      <c r="O3" s="117"/>
      <c r="P3" s="117"/>
      <c r="Q3" s="117"/>
      <c r="R3" s="117"/>
      <c r="S3" s="118"/>
    </row>
    <row r="4" spans="2:19" ht="5.25" customHeight="1" thickBot="1">
      <c r="B4" s="119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</row>
    <row r="5" spans="2:19" ht="5.25" customHeight="1">
      <c r="B5" s="122"/>
      <c r="S5" s="123"/>
    </row>
    <row r="6" spans="2:19" ht="13.5" customHeight="1">
      <c r="B6" s="122"/>
      <c r="C6" s="361" t="s">
        <v>2322</v>
      </c>
      <c r="D6" s="362"/>
      <c r="E6" s="363"/>
      <c r="G6" s="124" t="s">
        <v>15</v>
      </c>
      <c r="H6" s="125"/>
      <c r="I6" s="126"/>
      <c r="J6" s="382">
        <f>Calculatie!B2</f>
        <v>0</v>
      </c>
      <c r="K6" s="383"/>
      <c r="L6" s="383"/>
      <c r="M6" s="383"/>
      <c r="N6" s="383"/>
      <c r="O6" s="384"/>
      <c r="P6" s="127" t="s">
        <v>16</v>
      </c>
      <c r="Q6" s="128"/>
      <c r="R6" s="129">
        <f ca="1">NOW()</f>
        <v>46237.48245891204</v>
      </c>
      <c r="S6" s="123"/>
    </row>
    <row r="7" spans="2:19" ht="13.5" customHeight="1">
      <c r="B7" s="122"/>
      <c r="C7" s="364"/>
      <c r="D7" s="365"/>
      <c r="E7" s="366"/>
      <c r="G7" s="130" t="s">
        <v>17</v>
      </c>
      <c r="H7" s="131"/>
      <c r="I7" s="132"/>
      <c r="J7" s="379" t="str">
        <f>Calculatie!B3&amp;" "&amp;"("&amp;Calculatie!B4&amp;")"</f>
        <v xml:space="preserve"> ()</v>
      </c>
      <c r="K7" s="380"/>
      <c r="L7" s="380"/>
      <c r="M7" s="380"/>
      <c r="N7" s="380"/>
      <c r="O7" s="381"/>
      <c r="P7" s="112" t="s">
        <v>18</v>
      </c>
      <c r="R7" s="133"/>
      <c r="S7" s="123"/>
    </row>
    <row r="8" spans="2:19" ht="13.5" customHeight="1">
      <c r="B8" s="122"/>
      <c r="C8" s="364"/>
      <c r="D8" s="365"/>
      <c r="E8" s="366"/>
      <c r="G8" s="134"/>
      <c r="H8" s="135"/>
      <c r="I8" s="136"/>
      <c r="J8" s="137"/>
      <c r="K8" s="135"/>
      <c r="L8" s="135"/>
      <c r="M8" s="135"/>
      <c r="N8" s="135"/>
      <c r="O8" s="138"/>
      <c r="P8" s="390"/>
      <c r="Q8" s="386"/>
      <c r="R8" s="391"/>
      <c r="S8" s="123"/>
    </row>
    <row r="9" spans="2:19" ht="13.5" customHeight="1">
      <c r="B9" s="122"/>
      <c r="C9" s="364"/>
      <c r="D9" s="365"/>
      <c r="E9" s="366"/>
      <c r="G9" s="134" t="s">
        <v>19</v>
      </c>
      <c r="H9" s="135"/>
      <c r="I9" s="135"/>
      <c r="J9" s="139">
        <f>Calculatie!B9</f>
        <v>0</v>
      </c>
      <c r="K9" s="135"/>
      <c r="L9" s="135" t="s">
        <v>20</v>
      </c>
      <c r="M9" s="135"/>
      <c r="N9" s="135"/>
      <c r="O9" s="138"/>
      <c r="P9" s="140" t="s">
        <v>21</v>
      </c>
      <c r="Q9" s="135"/>
      <c r="R9" s="141"/>
      <c r="S9" s="123"/>
    </row>
    <row r="10" spans="2:19" ht="13.5" customHeight="1">
      <c r="B10" s="122"/>
      <c r="C10" s="364"/>
      <c r="D10" s="365"/>
      <c r="E10" s="366"/>
      <c r="G10" s="134" t="s">
        <v>22</v>
      </c>
      <c r="H10" s="135"/>
      <c r="I10" s="136"/>
      <c r="J10" s="385"/>
      <c r="K10" s="386"/>
      <c r="L10" s="386"/>
      <c r="M10" s="386"/>
      <c r="N10" s="386"/>
      <c r="O10" s="387"/>
      <c r="P10" s="112" t="s">
        <v>23</v>
      </c>
      <c r="R10" s="133"/>
      <c r="S10" s="123"/>
    </row>
    <row r="11" spans="2:19" ht="13.5" customHeight="1">
      <c r="B11" s="122"/>
      <c r="C11" s="364"/>
      <c r="D11" s="365"/>
      <c r="E11" s="366"/>
      <c r="G11" s="134"/>
      <c r="H11" s="135"/>
      <c r="I11" s="136"/>
      <c r="J11" s="135"/>
      <c r="K11" s="135"/>
      <c r="L11" s="135"/>
      <c r="M11" s="135"/>
      <c r="N11" s="135"/>
      <c r="O11" s="138"/>
      <c r="R11" s="133"/>
      <c r="S11" s="123"/>
    </row>
    <row r="12" spans="2:19" ht="13.5" customHeight="1">
      <c r="B12" s="122"/>
      <c r="C12" s="367"/>
      <c r="D12" s="368"/>
      <c r="E12" s="369"/>
      <c r="G12" s="142" t="s">
        <v>24</v>
      </c>
      <c r="H12" s="143"/>
      <c r="I12" s="144"/>
      <c r="J12" s="392" t="str">
        <f>Calculatie!B1</f>
        <v>Q.</v>
      </c>
      <c r="K12" s="392"/>
      <c r="L12" s="392"/>
      <c r="M12" s="145" t="s">
        <v>25</v>
      </c>
      <c r="N12" s="143"/>
      <c r="O12" s="146"/>
      <c r="P12" s="143"/>
      <c r="Q12" s="143"/>
      <c r="R12" s="147"/>
      <c r="S12" s="123"/>
    </row>
    <row r="13" spans="2:19" ht="5.25" customHeight="1" thickBot="1"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1"/>
    </row>
    <row r="14" spans="2:19" ht="9" customHeight="1">
      <c r="B14" s="122"/>
      <c r="F14" s="148"/>
      <c r="S14" s="123"/>
    </row>
    <row r="15" spans="2:19" ht="13.5" customHeight="1">
      <c r="B15" s="122"/>
      <c r="C15" s="149" t="s">
        <v>26</v>
      </c>
      <c r="D15" s="150"/>
      <c r="E15" s="151"/>
      <c r="F15" s="133"/>
      <c r="H15" s="152" t="s">
        <v>27</v>
      </c>
      <c r="S15" s="123"/>
    </row>
    <row r="16" spans="2:19" ht="13.5" customHeight="1">
      <c r="B16" s="122"/>
      <c r="C16" s="153" t="s">
        <v>28</v>
      </c>
      <c r="E16" s="154" t="s">
        <v>29</v>
      </c>
      <c r="F16" s="133"/>
      <c r="S16" s="123"/>
    </row>
    <row r="17" spans="2:19" ht="13.5" customHeight="1">
      <c r="B17" s="122"/>
      <c r="C17" s="134" t="s">
        <v>30</v>
      </c>
      <c r="D17" s="135"/>
      <c r="E17" s="155" t="s">
        <v>31</v>
      </c>
      <c r="F17" s="133"/>
      <c r="H17" s="370" t="s">
        <v>32</v>
      </c>
      <c r="I17" s="373" t="s">
        <v>33</v>
      </c>
      <c r="J17" s="374"/>
      <c r="L17" s="156" t="s">
        <v>34</v>
      </c>
      <c r="M17" s="157"/>
      <c r="O17" s="156" t="s">
        <v>35</v>
      </c>
      <c r="P17" s="157"/>
      <c r="R17" s="393" t="s">
        <v>36</v>
      </c>
      <c r="S17" s="123"/>
    </row>
    <row r="18" spans="2:19" ht="13.5" customHeight="1">
      <c r="B18" s="122"/>
      <c r="C18" s="134" t="s">
        <v>37</v>
      </c>
      <c r="D18" s="135"/>
      <c r="E18" s="155" t="s">
        <v>31</v>
      </c>
      <c r="F18" s="133"/>
      <c r="H18" s="371"/>
      <c r="I18" s="375"/>
      <c r="J18" s="376"/>
      <c r="L18" s="396" t="s">
        <v>38</v>
      </c>
      <c r="M18" s="398" t="s">
        <v>39</v>
      </c>
      <c r="O18" s="396" t="s">
        <v>38</v>
      </c>
      <c r="P18" s="398" t="s">
        <v>40</v>
      </c>
      <c r="R18" s="394"/>
      <c r="S18" s="123"/>
    </row>
    <row r="19" spans="2:19" ht="13.5" customHeight="1">
      <c r="B19" s="122"/>
      <c r="C19" s="142" t="s">
        <v>41</v>
      </c>
      <c r="D19" s="143"/>
      <c r="E19" s="159" t="s">
        <v>31</v>
      </c>
      <c r="F19" s="133"/>
      <c r="H19" s="372"/>
      <c r="I19" s="377"/>
      <c r="J19" s="378"/>
      <c r="L19" s="397"/>
      <c r="M19" s="399"/>
      <c r="O19" s="372"/>
      <c r="P19" s="399"/>
      <c r="R19" s="395"/>
      <c r="S19" s="123"/>
    </row>
    <row r="20" spans="2:19" ht="13.5" customHeight="1">
      <c r="B20" s="122"/>
      <c r="F20" s="133"/>
      <c r="S20" s="123"/>
    </row>
    <row r="21" spans="2:19" ht="13.5" customHeight="1">
      <c r="B21" s="122"/>
      <c r="C21" s="149" t="s">
        <v>42</v>
      </c>
      <c r="D21" s="150"/>
      <c r="E21" s="151"/>
      <c r="F21" s="133"/>
      <c r="H21" s="160">
        <v>1</v>
      </c>
      <c r="I21" s="161" t="s">
        <v>1719</v>
      </c>
      <c r="J21" s="162"/>
      <c r="L21" s="163">
        <f>Calculatie!A330</f>
        <v>0</v>
      </c>
      <c r="M21" s="164">
        <v>158</v>
      </c>
      <c r="O21" s="165"/>
      <c r="P21" s="164"/>
      <c r="R21" s="166">
        <f t="shared" ref="R21:R33" si="0">(L21*M21)+(O21*P21)</f>
        <v>0</v>
      </c>
      <c r="S21" s="123"/>
    </row>
    <row r="22" spans="2:19" ht="13.5" customHeight="1">
      <c r="B22" s="122"/>
      <c r="C22" s="347"/>
      <c r="D22" s="348"/>
      <c r="E22" s="349"/>
      <c r="F22" s="133"/>
      <c r="H22" s="167">
        <v>2</v>
      </c>
      <c r="I22" s="135" t="s">
        <v>2324</v>
      </c>
      <c r="J22" s="141"/>
      <c r="L22" s="168">
        <f>Calculatie!A333+Calculatie!A339</f>
        <v>0</v>
      </c>
      <c r="M22" s="169">
        <v>112</v>
      </c>
      <c r="O22" s="170"/>
      <c r="P22" s="169"/>
      <c r="R22" s="171">
        <f t="shared" si="0"/>
        <v>0</v>
      </c>
      <c r="S22" s="123"/>
    </row>
    <row r="23" spans="2:19" ht="13.5" customHeight="1">
      <c r="B23" s="122"/>
      <c r="C23" s="350"/>
      <c r="D23" s="351"/>
      <c r="E23" s="352"/>
      <c r="F23" s="133"/>
      <c r="H23" s="167">
        <v>3</v>
      </c>
      <c r="I23" s="135" t="s">
        <v>1721</v>
      </c>
      <c r="J23" s="141"/>
      <c r="L23" s="168">
        <f>Calculatie!A336</f>
        <v>0</v>
      </c>
      <c r="M23" s="169">
        <v>93</v>
      </c>
      <c r="O23" s="170"/>
      <c r="P23" s="169"/>
      <c r="R23" s="171">
        <f t="shared" si="0"/>
        <v>0</v>
      </c>
      <c r="S23" s="123"/>
    </row>
    <row r="24" spans="2:19" ht="13.5" customHeight="1">
      <c r="B24" s="122"/>
      <c r="C24" s="350"/>
      <c r="D24" s="351"/>
      <c r="E24" s="352"/>
      <c r="F24" s="133"/>
      <c r="H24" s="167"/>
      <c r="I24" s="135"/>
      <c r="J24" s="141"/>
      <c r="L24" s="170"/>
      <c r="M24" s="169"/>
      <c r="O24" s="170"/>
      <c r="P24" s="169"/>
      <c r="R24" s="171">
        <f t="shared" si="0"/>
        <v>0</v>
      </c>
      <c r="S24" s="123"/>
    </row>
    <row r="25" spans="2:19" ht="13.5" customHeight="1">
      <c r="B25" s="122"/>
      <c r="C25" s="350"/>
      <c r="D25" s="351"/>
      <c r="E25" s="352"/>
      <c r="F25" s="133"/>
      <c r="H25" s="167">
        <v>5</v>
      </c>
      <c r="I25" s="135" t="s">
        <v>1722</v>
      </c>
      <c r="J25" s="141"/>
      <c r="L25" s="168">
        <f>Calculatie!A343</f>
        <v>0</v>
      </c>
      <c r="M25" s="169">
        <v>81</v>
      </c>
      <c r="O25" s="170"/>
      <c r="P25" s="169"/>
      <c r="R25" s="171">
        <f t="shared" si="0"/>
        <v>0</v>
      </c>
      <c r="S25" s="123"/>
    </row>
    <row r="26" spans="2:19" ht="13.5" customHeight="1">
      <c r="B26" s="122"/>
      <c r="C26" s="353"/>
      <c r="D26" s="354"/>
      <c r="E26" s="355"/>
      <c r="F26" s="133"/>
      <c r="H26" s="167">
        <v>6</v>
      </c>
      <c r="I26" s="135" t="s">
        <v>1723</v>
      </c>
      <c r="J26" s="141"/>
      <c r="L26" s="168">
        <f>Calculatie!A356</f>
        <v>0</v>
      </c>
      <c r="M26" s="169">
        <v>69</v>
      </c>
      <c r="O26" s="170"/>
      <c r="P26" s="169"/>
      <c r="R26" s="171">
        <f t="shared" si="0"/>
        <v>0</v>
      </c>
      <c r="S26" s="123"/>
    </row>
    <row r="27" spans="2:19" ht="13.5" customHeight="1">
      <c r="B27" s="122"/>
      <c r="C27" s="172" t="s">
        <v>43</v>
      </c>
      <c r="D27" s="173"/>
      <c r="E27" s="174"/>
      <c r="F27" s="133"/>
      <c r="H27" s="167">
        <v>7</v>
      </c>
      <c r="I27" s="135"/>
      <c r="J27" s="141"/>
      <c r="L27" s="170"/>
      <c r="M27" s="169"/>
      <c r="O27" s="170"/>
      <c r="P27" s="169"/>
      <c r="R27" s="171">
        <f t="shared" si="0"/>
        <v>0</v>
      </c>
      <c r="S27" s="123"/>
    </row>
    <row r="28" spans="2:19" ht="13.5" customHeight="1">
      <c r="B28" s="122"/>
      <c r="F28" s="133"/>
      <c r="H28" s="167">
        <v>8</v>
      </c>
      <c r="I28" s="135"/>
      <c r="J28" s="141"/>
      <c r="L28" s="170"/>
      <c r="M28" s="169"/>
      <c r="O28" s="170"/>
      <c r="P28" s="169"/>
      <c r="R28" s="171">
        <f t="shared" si="0"/>
        <v>0</v>
      </c>
      <c r="S28" s="123"/>
    </row>
    <row r="29" spans="2:19" ht="13.5" customHeight="1">
      <c r="B29" s="122"/>
      <c r="C29" s="149" t="s">
        <v>44</v>
      </c>
      <c r="D29" s="150"/>
      <c r="E29" s="175"/>
      <c r="F29" s="133"/>
      <c r="H29" s="167">
        <v>9</v>
      </c>
      <c r="I29" s="135" t="s">
        <v>1724</v>
      </c>
      <c r="J29" s="141"/>
      <c r="L29" s="168">
        <f>Calculatie!A377</f>
        <v>0</v>
      </c>
      <c r="M29" s="169">
        <v>56</v>
      </c>
      <c r="O29" s="170"/>
      <c r="P29" s="169"/>
      <c r="R29" s="171">
        <f t="shared" si="0"/>
        <v>0</v>
      </c>
      <c r="S29" s="123"/>
    </row>
    <row r="30" spans="2:19" ht="13.5" customHeight="1">
      <c r="B30" s="122"/>
      <c r="C30" s="388" t="str">
        <f>Calculatie!A30</f>
        <v>APPARATUUR</v>
      </c>
      <c r="D30" s="389"/>
      <c r="E30" s="176">
        <f>Calculatie!H30</f>
        <v>0</v>
      </c>
      <c r="F30" s="133"/>
      <c r="H30" s="167">
        <v>10</v>
      </c>
      <c r="I30" s="135"/>
      <c r="J30" s="141"/>
      <c r="L30" s="170"/>
      <c r="M30" s="169"/>
      <c r="O30" s="170"/>
      <c r="P30" s="169"/>
      <c r="R30" s="171">
        <f t="shared" si="0"/>
        <v>0</v>
      </c>
      <c r="S30" s="123"/>
    </row>
    <row r="31" spans="2:19" ht="13.5" customHeight="1">
      <c r="B31" s="122"/>
      <c r="C31" s="402" t="str">
        <f>Calculatie!A73</f>
        <v>BALKEN/VOETEN/MUURSTEUN</v>
      </c>
      <c r="D31" s="403"/>
      <c r="E31" s="177">
        <f>Calculatie!H73</f>
        <v>0</v>
      </c>
      <c r="F31" s="133"/>
      <c r="H31" s="167">
        <v>11</v>
      </c>
      <c r="I31" s="135"/>
      <c r="J31" s="141"/>
      <c r="L31" s="170"/>
      <c r="M31" s="169"/>
      <c r="O31" s="170"/>
      <c r="P31" s="169"/>
      <c r="R31" s="171">
        <f t="shared" si="0"/>
        <v>0</v>
      </c>
      <c r="S31" s="123"/>
    </row>
    <row r="32" spans="2:19" ht="13.5" customHeight="1">
      <c r="B32" s="122"/>
      <c r="C32" s="402" t="str">
        <f>Calculatie!A92</f>
        <v>LEIDINGEN/KABELS/SIFON</v>
      </c>
      <c r="D32" s="403"/>
      <c r="E32" s="177">
        <f>Calculatie!H92</f>
        <v>0</v>
      </c>
      <c r="F32" s="133"/>
      <c r="H32" s="167"/>
      <c r="I32" s="135" t="s">
        <v>45</v>
      </c>
      <c r="J32" s="141"/>
      <c r="L32" s="170"/>
      <c r="M32" s="169"/>
      <c r="O32" s="170"/>
      <c r="P32" s="169"/>
      <c r="R32" s="171">
        <f t="shared" si="0"/>
        <v>0</v>
      </c>
      <c r="S32" s="123"/>
    </row>
    <row r="33" spans="2:19" ht="13.5" customHeight="1">
      <c r="B33" s="122"/>
      <c r="C33" s="402" t="str">
        <f>Calculatie!A136</f>
        <v>POMPEN</v>
      </c>
      <c r="D33" s="403"/>
      <c r="E33" s="177">
        <f>Calculatie!H136</f>
        <v>0</v>
      </c>
      <c r="F33" s="133"/>
      <c r="H33" s="178"/>
      <c r="I33" s="143" t="s">
        <v>46</v>
      </c>
      <c r="J33" s="147"/>
      <c r="L33" s="179"/>
      <c r="M33" s="180"/>
      <c r="O33" s="179"/>
      <c r="P33" s="180"/>
      <c r="R33" s="181">
        <f t="shared" si="0"/>
        <v>0</v>
      </c>
      <c r="S33" s="123"/>
    </row>
    <row r="34" spans="2:19" ht="13.5" customHeight="1">
      <c r="B34" s="122"/>
      <c r="C34" s="402" t="str">
        <f>Calculatie!A155</f>
        <v>INOAC</v>
      </c>
      <c r="D34" s="403"/>
      <c r="E34" s="177">
        <f>Calculatie!H155</f>
        <v>0</v>
      </c>
      <c r="F34" s="133"/>
      <c r="H34" s="356" t="s">
        <v>47</v>
      </c>
      <c r="I34" s="357"/>
      <c r="J34" s="358"/>
      <c r="K34" s="182"/>
      <c r="L34" s="359">
        <f>SUM(L21:L33)</f>
        <v>0</v>
      </c>
      <c r="M34" s="360"/>
      <c r="N34" s="182"/>
      <c r="O34" s="359">
        <f>SUM(O21:O33)</f>
        <v>0</v>
      </c>
      <c r="P34" s="360"/>
      <c r="Q34" s="183"/>
      <c r="R34" s="184">
        <f>SUM(R21:R33)</f>
        <v>0</v>
      </c>
      <c r="S34" s="123"/>
    </row>
    <row r="35" spans="2:19" ht="13.5" customHeight="1">
      <c r="B35" s="122"/>
      <c r="C35" s="402" t="str">
        <f>Calculatie!A228</f>
        <v>SOLDEER</v>
      </c>
      <c r="D35" s="403"/>
      <c r="E35" s="177">
        <f>Calculatie!H228</f>
        <v>0</v>
      </c>
      <c r="F35" s="133"/>
      <c r="H35" s="182"/>
      <c r="I35" s="185"/>
      <c r="J35" s="185"/>
      <c r="K35" s="182"/>
      <c r="L35" s="186"/>
      <c r="M35" s="187"/>
      <c r="N35" s="182"/>
      <c r="O35" s="186"/>
      <c r="P35" s="187"/>
      <c r="Q35" s="183"/>
      <c r="R35" s="188"/>
      <c r="S35" s="123"/>
    </row>
    <row r="36" spans="2:19" ht="13.5" customHeight="1">
      <c r="B36" s="122"/>
      <c r="C36" s="402" t="str">
        <f>Calculatie!A239</f>
        <v>WERKSCHAKELAAR</v>
      </c>
      <c r="D36" s="403"/>
      <c r="E36" s="177">
        <f>Calculatie!H239</f>
        <v>0</v>
      </c>
      <c r="F36" s="133"/>
      <c r="H36" s="182"/>
      <c r="I36" s="185"/>
      <c r="J36" s="185"/>
      <c r="K36" s="182"/>
      <c r="L36" s="186"/>
      <c r="M36" s="187"/>
      <c r="N36" s="182"/>
      <c r="O36" s="186"/>
      <c r="P36" s="187"/>
      <c r="Q36" s="183"/>
      <c r="R36" s="188"/>
      <c r="S36" s="123"/>
    </row>
    <row r="37" spans="2:19" ht="13.5" customHeight="1">
      <c r="B37" s="122"/>
      <c r="C37" s="402" t="str">
        <f>Calculatie!A247</f>
        <v>KOUDE MIDDEL</v>
      </c>
      <c r="D37" s="403"/>
      <c r="E37" s="177">
        <f>Calculatie!H247</f>
        <v>0</v>
      </c>
      <c r="F37" s="133"/>
      <c r="S37" s="123"/>
    </row>
    <row r="38" spans="2:19" ht="13.5" customHeight="1">
      <c r="B38" s="122"/>
      <c r="C38" s="402" t="str">
        <f>Calculatie!A255</f>
        <v>DAKDOORVOERING</v>
      </c>
      <c r="D38" s="403"/>
      <c r="E38" s="177">
        <f>Calculatie!H255</f>
        <v>0</v>
      </c>
      <c r="F38" s="133"/>
      <c r="I38" s="112" t="s">
        <v>48</v>
      </c>
      <c r="M38" s="83"/>
      <c r="N38" s="189"/>
      <c r="O38" s="158" t="s">
        <v>49</v>
      </c>
      <c r="P38" s="84"/>
      <c r="R38" s="166">
        <f>M38*P38</f>
        <v>0</v>
      </c>
      <c r="S38" s="123"/>
    </row>
    <row r="39" spans="2:19" ht="13.5" customHeight="1">
      <c r="B39" s="122"/>
      <c r="C39" s="400" t="str">
        <f>Calculatie!A265</f>
        <v>TOEBEHOREN LUCHTVERDELING</v>
      </c>
      <c r="D39" s="401"/>
      <c r="E39" s="323">
        <f>Calculatie!H265</f>
        <v>0</v>
      </c>
      <c r="F39" s="133"/>
      <c r="I39" s="112" t="s">
        <v>50</v>
      </c>
      <c r="M39" s="85">
        <v>0</v>
      </c>
      <c r="N39" s="189"/>
      <c r="O39" s="158" t="s">
        <v>51</v>
      </c>
      <c r="P39" s="86">
        <v>0</v>
      </c>
      <c r="Q39" s="190"/>
      <c r="R39" s="171">
        <f>M39*P39</f>
        <v>0</v>
      </c>
      <c r="S39" s="123"/>
    </row>
    <row r="40" spans="2:19" ht="13.5" customHeight="1">
      <c r="B40" s="122"/>
      <c r="C40" s="322"/>
      <c r="D40" s="325"/>
      <c r="E40" s="324"/>
      <c r="F40" s="133"/>
      <c r="L40" s="191"/>
      <c r="M40" s="87"/>
      <c r="N40" s="189"/>
      <c r="O40" s="192"/>
      <c r="P40" s="88"/>
      <c r="R40" s="181">
        <f>M40*P40</f>
        <v>0</v>
      </c>
      <c r="S40" s="123"/>
    </row>
    <row r="41" spans="2:19" ht="13.5" customHeight="1">
      <c r="B41" s="122"/>
      <c r="C41" s="207" t="s">
        <v>52</v>
      </c>
      <c r="D41" s="208"/>
      <c r="E41" s="209">
        <f>SUM(E30:E40)</f>
        <v>0</v>
      </c>
      <c r="F41" s="133"/>
      <c r="M41" s="193"/>
      <c r="P41" s="193"/>
      <c r="R41" s="194"/>
      <c r="S41" s="123"/>
    </row>
    <row r="42" spans="2:19" ht="13.5" customHeight="1">
      <c r="B42" s="122"/>
      <c r="F42" s="133"/>
      <c r="I42" s="195" t="s">
        <v>53</v>
      </c>
      <c r="J42" s="196"/>
      <c r="K42" s="196"/>
      <c r="L42" s="196"/>
      <c r="M42" s="196"/>
      <c r="N42" s="196"/>
      <c r="O42" s="196"/>
      <c r="P42" s="196"/>
      <c r="Q42" s="196"/>
      <c r="R42" s="197">
        <f>SUM(R34:R40)</f>
        <v>0</v>
      </c>
      <c r="S42" s="123"/>
    </row>
    <row r="43" spans="2:19" ht="13.5" customHeight="1">
      <c r="B43" s="122"/>
      <c r="C43" s="149" t="s">
        <v>54</v>
      </c>
      <c r="D43" s="150"/>
      <c r="E43" s="151"/>
      <c r="F43" s="133"/>
      <c r="S43" s="123"/>
    </row>
    <row r="44" spans="2:19" ht="13.5" customHeight="1">
      <c r="B44" s="122"/>
      <c r="C44" s="198" t="s">
        <v>55</v>
      </c>
      <c r="D44" s="199"/>
      <c r="E44" s="176">
        <f>Calculatie!H417</f>
        <v>0</v>
      </c>
      <c r="F44" s="133"/>
      <c r="H44" s="152" t="s">
        <v>56</v>
      </c>
      <c r="S44" s="123"/>
    </row>
    <row r="45" spans="2:19" ht="13.5" customHeight="1">
      <c r="B45" s="122"/>
      <c r="C45" s="198"/>
      <c r="D45" s="199"/>
      <c r="E45" s="200"/>
      <c r="F45" s="133"/>
      <c r="S45" s="123"/>
    </row>
    <row r="46" spans="2:19" ht="13.5" customHeight="1">
      <c r="B46" s="122"/>
      <c r="C46" s="198"/>
      <c r="D46" s="199"/>
      <c r="E46" s="200"/>
      <c r="F46" s="133"/>
      <c r="I46" s="112" t="s">
        <v>57</v>
      </c>
      <c r="R46" s="166">
        <f>E41</f>
        <v>0</v>
      </c>
      <c r="S46" s="123"/>
    </row>
    <row r="47" spans="2:19" ht="13.5" customHeight="1">
      <c r="B47" s="122"/>
      <c r="C47" s="198"/>
      <c r="D47" s="199"/>
      <c r="E47" s="200"/>
      <c r="F47" s="133"/>
      <c r="I47" s="112" t="s">
        <v>58</v>
      </c>
      <c r="O47" s="201" t="s">
        <v>59</v>
      </c>
      <c r="P47" s="202">
        <v>0.12</v>
      </c>
      <c r="R47" s="171">
        <f>P47*R46</f>
        <v>0</v>
      </c>
      <c r="S47" s="123"/>
    </row>
    <row r="48" spans="2:19" ht="13.5" customHeight="1">
      <c r="B48" s="122"/>
      <c r="C48" s="198"/>
      <c r="D48" s="199"/>
      <c r="E48" s="200"/>
      <c r="F48" s="133"/>
      <c r="I48" s="112" t="s">
        <v>60</v>
      </c>
      <c r="R48" s="171">
        <f>E50</f>
        <v>0</v>
      </c>
      <c r="S48" s="123"/>
    </row>
    <row r="49" spans="2:25" ht="13.5" customHeight="1">
      <c r="B49" s="122"/>
      <c r="C49" s="203"/>
      <c r="D49" s="204"/>
      <c r="E49" s="205"/>
      <c r="F49" s="133"/>
      <c r="I49" s="112" t="s">
        <v>61</v>
      </c>
      <c r="O49" s="201" t="s">
        <v>59</v>
      </c>
      <c r="P49" s="202">
        <v>0.12</v>
      </c>
      <c r="R49" s="171">
        <f>P49*R48</f>
        <v>0</v>
      </c>
      <c r="S49" s="123"/>
      <c r="V49" s="206"/>
      <c r="W49" s="92"/>
      <c r="X49" s="92"/>
      <c r="Y49" s="92"/>
    </row>
    <row r="50" spans="2:25" ht="13.5" customHeight="1">
      <c r="B50" s="122"/>
      <c r="C50" s="207" t="s">
        <v>52</v>
      </c>
      <c r="D50" s="208"/>
      <c r="E50" s="209">
        <f>SUM(E44:E49)</f>
        <v>0</v>
      </c>
      <c r="F50" s="133"/>
      <c r="I50" s="112" t="s">
        <v>62</v>
      </c>
      <c r="P50" s="210"/>
      <c r="R50" s="171"/>
      <c r="S50" s="123"/>
    </row>
    <row r="51" spans="2:25" ht="13.5" customHeight="1">
      <c r="B51" s="122"/>
      <c r="F51" s="133"/>
      <c r="I51" s="112" t="s">
        <v>63</v>
      </c>
      <c r="R51" s="171">
        <f>E59</f>
        <v>0</v>
      </c>
      <c r="S51" s="123"/>
    </row>
    <row r="52" spans="2:25" ht="13.5" customHeight="1">
      <c r="B52" s="122"/>
      <c r="C52" s="149" t="s">
        <v>64</v>
      </c>
      <c r="D52" s="150"/>
      <c r="E52" s="151"/>
      <c r="F52" s="133"/>
      <c r="I52" s="112" t="s">
        <v>65</v>
      </c>
      <c r="R52" s="211">
        <f>Calculatie!H437</f>
        <v>0</v>
      </c>
      <c r="S52" s="123"/>
    </row>
    <row r="53" spans="2:25" ht="13.5" customHeight="1">
      <c r="B53" s="122"/>
      <c r="C53" s="212" t="s">
        <v>66</v>
      </c>
      <c r="D53" s="213"/>
      <c r="E53" s="176">
        <f>Calculatie!H429</f>
        <v>0</v>
      </c>
      <c r="F53" s="133"/>
      <c r="I53" s="112" t="s">
        <v>67</v>
      </c>
      <c r="R53" s="171"/>
      <c r="S53" s="123"/>
    </row>
    <row r="54" spans="2:25" ht="13.5" customHeight="1">
      <c r="B54" s="122"/>
      <c r="C54" s="198" t="s">
        <v>1726</v>
      </c>
      <c r="D54" s="214"/>
      <c r="E54" s="89">
        <v>0</v>
      </c>
      <c r="F54" s="133"/>
      <c r="I54" s="112" t="s">
        <v>68</v>
      </c>
      <c r="R54" s="171"/>
      <c r="S54" s="123"/>
    </row>
    <row r="55" spans="2:25" ht="13.5" customHeight="1">
      <c r="B55" s="122"/>
      <c r="C55" s="198" t="s">
        <v>1727</v>
      </c>
      <c r="D55" s="199"/>
      <c r="E55" s="89"/>
      <c r="F55" s="133"/>
      <c r="I55" s="112" t="s">
        <v>69</v>
      </c>
      <c r="R55" s="171">
        <f>+E65</f>
        <v>0</v>
      </c>
      <c r="S55" s="123"/>
    </row>
    <row r="56" spans="2:25" ht="13.5" customHeight="1">
      <c r="B56" s="122"/>
      <c r="C56" s="198"/>
      <c r="D56" s="199"/>
      <c r="E56" s="200"/>
      <c r="F56" s="133"/>
      <c r="I56" s="112" t="s">
        <v>70</v>
      </c>
      <c r="R56" s="171"/>
      <c r="S56" s="123"/>
    </row>
    <row r="57" spans="2:25" ht="13.5" customHeight="1">
      <c r="B57" s="122"/>
      <c r="C57" s="198"/>
      <c r="D57" s="199"/>
      <c r="E57" s="200"/>
      <c r="F57" s="133"/>
      <c r="I57" s="112" t="s">
        <v>71</v>
      </c>
      <c r="R57" s="181"/>
      <c r="S57" s="123"/>
    </row>
    <row r="58" spans="2:25" ht="13.5" customHeight="1">
      <c r="B58" s="122"/>
      <c r="C58" s="203"/>
      <c r="D58" s="204"/>
      <c r="E58" s="205"/>
      <c r="F58" s="133"/>
      <c r="S58" s="123"/>
    </row>
    <row r="59" spans="2:25" ht="13.5" customHeight="1">
      <c r="B59" s="122"/>
      <c r="C59" s="207" t="s">
        <v>52</v>
      </c>
      <c r="D59" s="208"/>
      <c r="E59" s="209">
        <f>SUM(E53:E58)</f>
        <v>0</v>
      </c>
      <c r="F59" s="133"/>
      <c r="I59" s="195" t="s">
        <v>72</v>
      </c>
      <c r="J59" s="196"/>
      <c r="K59" s="196"/>
      <c r="L59" s="196"/>
      <c r="M59" s="196"/>
      <c r="N59" s="196"/>
      <c r="O59" s="196"/>
      <c r="P59" s="196"/>
      <c r="Q59" s="196"/>
      <c r="R59" s="197">
        <f>SUM(R46:R57)</f>
        <v>0</v>
      </c>
      <c r="S59" s="123"/>
    </row>
    <row r="60" spans="2:25" ht="13.5" customHeight="1" thickBot="1">
      <c r="B60" s="122"/>
      <c r="F60" s="133"/>
      <c r="S60" s="123"/>
    </row>
    <row r="61" spans="2:25" ht="13.5" customHeight="1" thickTop="1" thickBot="1">
      <c r="B61" s="122"/>
      <c r="C61" s="149" t="s">
        <v>73</v>
      </c>
      <c r="D61" s="150"/>
      <c r="E61" s="151"/>
      <c r="F61" s="133"/>
      <c r="H61" s="215" t="s">
        <v>74</v>
      </c>
      <c r="I61" s="216"/>
      <c r="J61" s="217"/>
      <c r="K61" s="217"/>
      <c r="L61" s="217"/>
      <c r="M61" s="218"/>
      <c r="N61" s="218"/>
      <c r="O61" s="218"/>
      <c r="P61" s="219"/>
      <c r="Q61" s="217"/>
      <c r="R61" s="220">
        <f>R42+R59</f>
        <v>0</v>
      </c>
      <c r="S61" s="123"/>
    </row>
    <row r="62" spans="2:25" ht="13.5" customHeight="1" thickTop="1">
      <c r="B62" s="122"/>
      <c r="C62" s="221"/>
      <c r="D62" s="222"/>
      <c r="E62" s="223"/>
      <c r="F62" s="133"/>
      <c r="S62" s="123"/>
    </row>
    <row r="63" spans="2:25" ht="13.5" customHeight="1">
      <c r="B63" s="122"/>
      <c r="C63" s="198"/>
      <c r="D63" s="224"/>
      <c r="E63" s="225"/>
      <c r="F63" s="133"/>
      <c r="I63" s="112" t="s">
        <v>75</v>
      </c>
      <c r="O63" s="226" t="s">
        <v>59</v>
      </c>
      <c r="P63" s="227">
        <v>0.04</v>
      </c>
      <c r="R63" s="166">
        <f>P63*R61</f>
        <v>0</v>
      </c>
      <c r="S63" s="123"/>
    </row>
    <row r="64" spans="2:25" ht="13.5" customHeight="1">
      <c r="B64" s="122"/>
      <c r="C64" s="203"/>
      <c r="D64" s="228"/>
      <c r="E64" s="229"/>
      <c r="F64" s="133"/>
      <c r="I64" s="112" t="s">
        <v>76</v>
      </c>
      <c r="O64" s="201" t="s">
        <v>59</v>
      </c>
      <c r="P64" s="230">
        <v>7.0000000000000001E-3</v>
      </c>
      <c r="R64" s="171">
        <f>P64*R61</f>
        <v>0</v>
      </c>
      <c r="S64" s="123"/>
    </row>
    <row r="65" spans="2:23" ht="13.5" customHeight="1">
      <c r="B65" s="122"/>
      <c r="C65" s="142"/>
      <c r="D65" s="231"/>
      <c r="E65" s="232">
        <f>+SUM(E62:E64)</f>
        <v>0</v>
      </c>
      <c r="F65" s="133"/>
      <c r="I65" s="112" t="s">
        <v>77</v>
      </c>
      <c r="O65" s="233" t="s">
        <v>59</v>
      </c>
      <c r="P65" s="234">
        <v>0.04</v>
      </c>
      <c r="R65" s="181">
        <f>P65*R61</f>
        <v>0</v>
      </c>
      <c r="S65" s="123"/>
    </row>
    <row r="66" spans="2:23" ht="13.5" customHeight="1" thickBot="1">
      <c r="B66" s="122"/>
      <c r="F66" s="133"/>
      <c r="S66" s="123"/>
    </row>
    <row r="67" spans="2:23" ht="13.5" customHeight="1" thickBot="1">
      <c r="B67" s="122"/>
      <c r="C67" s="149" t="s">
        <v>78</v>
      </c>
      <c r="D67" s="150"/>
      <c r="E67" s="151"/>
      <c r="F67" s="133"/>
      <c r="H67" s="235" t="s">
        <v>79</v>
      </c>
      <c r="I67" s="236"/>
      <c r="J67" s="236"/>
      <c r="K67" s="236"/>
      <c r="L67" s="236"/>
      <c r="M67" s="236"/>
      <c r="N67" s="236"/>
      <c r="O67" s="236"/>
      <c r="P67" s="236"/>
      <c r="Q67" s="236"/>
      <c r="R67" s="91">
        <f>SUM(R61:R65)</f>
        <v>0</v>
      </c>
      <c r="S67" s="123"/>
    </row>
    <row r="68" spans="2:23" ht="13.5" customHeight="1">
      <c r="B68" s="122"/>
      <c r="C68" s="237"/>
      <c r="D68" s="238"/>
      <c r="E68" s="239"/>
      <c r="F68" s="133"/>
      <c r="S68" s="123"/>
    </row>
    <row r="69" spans="2:23" ht="13.5" customHeight="1">
      <c r="B69" s="122"/>
      <c r="C69" s="240"/>
      <c r="D69" s="241"/>
      <c r="E69" s="242"/>
      <c r="F69" s="133"/>
      <c r="I69" s="112" t="s">
        <v>80</v>
      </c>
      <c r="O69" s="201" t="s">
        <v>81</v>
      </c>
      <c r="P69" s="202">
        <f>IF(R76=0,0,R69/R76)</f>
        <v>0</v>
      </c>
      <c r="R69" s="243">
        <f>R71-R67</f>
        <v>0</v>
      </c>
      <c r="S69" s="123"/>
    </row>
    <row r="70" spans="2:23" ht="13.5" customHeight="1" thickBot="1">
      <c r="B70" s="122"/>
      <c r="C70" s="240"/>
      <c r="D70" s="241"/>
      <c r="E70" s="242"/>
      <c r="F70" s="133"/>
      <c r="O70" s="244"/>
      <c r="P70" s="210"/>
      <c r="R70" s="194"/>
      <c r="S70" s="123"/>
    </row>
    <row r="71" spans="2:23" ht="13.5" customHeight="1" thickBot="1">
      <c r="B71" s="122"/>
      <c r="C71" s="240"/>
      <c r="D71" s="241"/>
      <c r="E71" s="242"/>
      <c r="F71" s="133"/>
      <c r="H71" s="235" t="s">
        <v>82</v>
      </c>
      <c r="I71" s="236"/>
      <c r="J71" s="236"/>
      <c r="K71" s="236"/>
      <c r="L71" s="236"/>
      <c r="M71" s="236"/>
      <c r="N71" s="236"/>
      <c r="O71" s="236"/>
      <c r="P71" s="236"/>
      <c r="Q71" s="236"/>
      <c r="R71" s="90">
        <v>0</v>
      </c>
      <c r="S71" s="123"/>
      <c r="U71" s="407" t="s">
        <v>83</v>
      </c>
      <c r="V71" s="408"/>
      <c r="W71" s="409"/>
    </row>
    <row r="72" spans="2:23" ht="13.5" customHeight="1" thickBot="1">
      <c r="B72" s="122"/>
      <c r="C72" s="240"/>
      <c r="D72" s="241"/>
      <c r="E72" s="242"/>
      <c r="F72" s="133"/>
      <c r="O72" s="244"/>
      <c r="P72" s="210"/>
      <c r="R72" s="194"/>
      <c r="S72" s="123"/>
    </row>
    <row r="73" spans="2:23" ht="13.5" customHeight="1" thickBot="1">
      <c r="B73" s="122"/>
      <c r="C73" s="240"/>
      <c r="D73" s="241"/>
      <c r="E73" s="242"/>
      <c r="F73" s="133"/>
      <c r="I73" s="112" t="s">
        <v>84</v>
      </c>
      <c r="O73" s="201" t="s">
        <v>59</v>
      </c>
      <c r="P73" s="106">
        <f>Calculatie!F440</f>
        <v>0</v>
      </c>
      <c r="Q73" s="190"/>
      <c r="R73" s="166">
        <f>R71*P73</f>
        <v>0</v>
      </c>
      <c r="S73" s="123"/>
      <c r="U73" s="407" t="s">
        <v>85</v>
      </c>
      <c r="V73" s="408"/>
      <c r="W73" s="409"/>
    </row>
    <row r="74" spans="2:23" ht="13.5" customHeight="1" thickBot="1">
      <c r="B74" s="122"/>
      <c r="C74" s="240"/>
      <c r="D74" s="241"/>
      <c r="E74" s="242"/>
      <c r="F74" s="133"/>
      <c r="I74" s="112" t="s">
        <v>86</v>
      </c>
      <c r="O74" s="201" t="s">
        <v>59</v>
      </c>
      <c r="P74" s="230">
        <v>1.2500000000000001E-2</v>
      </c>
      <c r="R74" s="245">
        <f>R71*P74</f>
        <v>0</v>
      </c>
      <c r="S74" s="123"/>
      <c r="U74" s="407" t="s">
        <v>87</v>
      </c>
      <c r="V74" s="408"/>
      <c r="W74" s="409"/>
    </row>
    <row r="75" spans="2:23" ht="13.5" customHeight="1" thickBot="1">
      <c r="B75" s="122"/>
      <c r="C75" s="240"/>
      <c r="D75" s="241"/>
      <c r="E75" s="242"/>
      <c r="F75" s="133"/>
      <c r="R75" s="194"/>
      <c r="S75" s="123"/>
    </row>
    <row r="76" spans="2:23" ht="13.5" customHeight="1" thickBot="1">
      <c r="B76" s="122"/>
      <c r="C76" s="246" t="s">
        <v>88</v>
      </c>
      <c r="D76" s="247"/>
      <c r="E76" s="248">
        <f>IF(R61=0,0,R59/R61)</f>
        <v>0</v>
      </c>
      <c r="F76" s="133"/>
      <c r="H76" s="235" t="s">
        <v>1739</v>
      </c>
      <c r="I76" s="236"/>
      <c r="J76" s="236"/>
      <c r="K76" s="236"/>
      <c r="L76" s="236"/>
      <c r="M76" s="236"/>
      <c r="N76" s="236"/>
      <c r="O76" s="236"/>
      <c r="P76" s="236"/>
      <c r="Q76" s="236"/>
      <c r="R76" s="249">
        <f>(R71+R73+R74)/(1-Calculatie!F443)</f>
        <v>0</v>
      </c>
      <c r="S76" s="123"/>
      <c r="U76" s="404" t="s">
        <v>89</v>
      </c>
      <c r="V76" s="405"/>
      <c r="W76" s="406"/>
    </row>
    <row r="77" spans="2:23" ht="9" customHeight="1" thickBot="1">
      <c r="B77" s="119"/>
      <c r="C77" s="120"/>
      <c r="D77" s="120"/>
      <c r="E77" s="120"/>
      <c r="F77" s="25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1"/>
    </row>
    <row r="78" spans="2:23" ht="4.5" customHeight="1">
      <c r="B78" s="251"/>
      <c r="F78" s="148"/>
      <c r="S78" s="123"/>
    </row>
    <row r="79" spans="2:23" ht="13.5" customHeight="1">
      <c r="B79" s="251" t="s">
        <v>90</v>
      </c>
      <c r="F79" s="133"/>
      <c r="I79" s="252" t="s">
        <v>91</v>
      </c>
      <c r="J79" s="175"/>
      <c r="K79" s="253"/>
      <c r="L79" s="252" t="s">
        <v>1757</v>
      </c>
      <c r="M79" s="175"/>
      <c r="N79" s="253"/>
      <c r="O79" s="252" t="s">
        <v>92</v>
      </c>
      <c r="P79" s="175"/>
      <c r="S79" s="123"/>
    </row>
    <row r="80" spans="2:23" ht="13.5" customHeight="1">
      <c r="B80" s="122"/>
      <c r="F80" s="133"/>
      <c r="I80" s="254" t="str">
        <f>"M. "&amp;P8</f>
        <v xml:space="preserve">M. </v>
      </c>
      <c r="J80" s="255"/>
      <c r="L80" s="254" t="s">
        <v>93</v>
      </c>
      <c r="M80" s="255"/>
      <c r="O80" s="254" t="s">
        <v>94</v>
      </c>
      <c r="P80" s="255"/>
      <c r="S80" s="123"/>
      <c r="U80" s="256"/>
    </row>
    <row r="81" spans="2:22" ht="13.5" customHeight="1">
      <c r="B81" s="122"/>
      <c r="F81" s="133"/>
      <c r="I81" s="153"/>
      <c r="J81" s="133"/>
      <c r="L81" s="153"/>
      <c r="M81" s="133"/>
      <c r="O81" s="153"/>
      <c r="P81" s="133"/>
      <c r="S81" s="123"/>
    </row>
    <row r="82" spans="2:22" ht="13.5" customHeight="1">
      <c r="B82" s="122"/>
      <c r="F82" s="133"/>
      <c r="I82" s="153"/>
      <c r="J82" s="133"/>
      <c r="L82" s="153"/>
      <c r="M82" s="133"/>
      <c r="O82" s="153"/>
      <c r="P82" s="133"/>
      <c r="S82" s="123"/>
      <c r="U82" s="256"/>
      <c r="V82" s="256"/>
    </row>
    <row r="83" spans="2:22" ht="13.5" customHeight="1">
      <c r="B83" s="122"/>
      <c r="F83" s="133"/>
      <c r="I83" s="142"/>
      <c r="J83" s="147"/>
      <c r="L83" s="142"/>
      <c r="M83" s="147"/>
      <c r="O83" s="142"/>
      <c r="P83" s="147"/>
      <c r="S83" s="123"/>
    </row>
    <row r="84" spans="2:22" ht="4.5" customHeight="1" thickBot="1">
      <c r="B84" s="119"/>
      <c r="C84" s="120"/>
      <c r="D84" s="120"/>
      <c r="E84" s="120"/>
      <c r="F84" s="25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1"/>
    </row>
  </sheetData>
  <sheetProtection sheet="1" objects="1" scenarios="1"/>
  <mergeCells count="32">
    <mergeCell ref="U76:W76"/>
    <mergeCell ref="U71:W71"/>
    <mergeCell ref="U73:W73"/>
    <mergeCell ref="U74:W74"/>
    <mergeCell ref="C35:D35"/>
    <mergeCell ref="M18:M19"/>
    <mergeCell ref="O18:O19"/>
    <mergeCell ref="P18:P19"/>
    <mergeCell ref="C39:D39"/>
    <mergeCell ref="C38:D38"/>
    <mergeCell ref="C37:D37"/>
    <mergeCell ref="C36:D36"/>
    <mergeCell ref="C34:D34"/>
    <mergeCell ref="C33:D33"/>
    <mergeCell ref="C32:D32"/>
    <mergeCell ref="C31:D31"/>
    <mergeCell ref="I3:L3"/>
    <mergeCell ref="C22:E26"/>
    <mergeCell ref="H34:J34"/>
    <mergeCell ref="L34:M34"/>
    <mergeCell ref="O34:P34"/>
    <mergeCell ref="C6:E12"/>
    <mergeCell ref="H17:H19"/>
    <mergeCell ref="I17:J19"/>
    <mergeCell ref="J7:O7"/>
    <mergeCell ref="J6:O6"/>
    <mergeCell ref="J10:O10"/>
    <mergeCell ref="C30:D30"/>
    <mergeCell ref="P8:R8"/>
    <mergeCell ref="J12:L12"/>
    <mergeCell ref="R17:R19"/>
    <mergeCell ref="L18:L19"/>
  </mergeCells>
  <pageMargins left="0.7" right="0.7" top="0.75" bottom="0.75" header="0.3" footer="0.3"/>
  <pageSetup paperSize="9" scale="51" orientation="portrait" r:id="rId1"/>
  <headerFooter>
    <oddFooter>&amp;C_x000D_&amp;1#&amp;"Calibri"&amp;10&amp;KFFFF00 C1-Intern use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9A7209E-4174-46CE-ACB3-343FD1F3F7FD}">
          <x14:formula1>
            <xm:f>'PL''s'!$A$2:$A$7</xm:f>
          </x14:formula1>
          <xm:sqref>P8:R8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27ECA-E964-4705-BEF8-6F8FBBFE6FB4}">
  <dimension ref="A1:M443"/>
  <sheetViews>
    <sheetView zoomScale="70" zoomScaleNormal="70" zoomScalePageLayoutView="55" workbookViewId="0">
      <pane ySplit="26" topLeftCell="A27" activePane="bottomLeft" state="frozen"/>
      <selection pane="bottomLeft" activeCell="C5" sqref="C5"/>
    </sheetView>
  </sheetViews>
  <sheetFormatPr defaultColWidth="9.140625" defaultRowHeight="18" outlineLevelRow="1"/>
  <cols>
    <col min="1" max="1" width="43.28515625" style="267" customWidth="1"/>
    <col min="2" max="2" width="36.5703125" style="267" customWidth="1"/>
    <col min="3" max="3" width="30.7109375" style="267" bestFit="1" customWidth="1"/>
    <col min="4" max="4" width="119.5703125" style="267" bestFit="1" customWidth="1"/>
    <col min="5" max="5" width="18.42578125" style="267" customWidth="1"/>
    <col min="6" max="7" width="18" style="267" bestFit="1" customWidth="1"/>
    <col min="8" max="8" width="19.28515625" style="267" bestFit="1" customWidth="1"/>
    <col min="9" max="9" width="79.85546875" style="267" customWidth="1"/>
    <col min="10" max="11" width="9.140625" style="267"/>
    <col min="12" max="12" width="35.7109375" style="267" bestFit="1" customWidth="1"/>
    <col min="13" max="13" width="9.7109375" style="267" bestFit="1" customWidth="1"/>
    <col min="14" max="16384" width="9.140625" style="267"/>
  </cols>
  <sheetData>
    <row r="1" spans="1:13">
      <c r="A1" s="266" t="s">
        <v>96</v>
      </c>
      <c r="B1" s="104" t="s">
        <v>97</v>
      </c>
      <c r="C1" s="267" t="s">
        <v>2404</v>
      </c>
      <c r="D1" s="410"/>
      <c r="E1" s="268" t="s">
        <v>102</v>
      </c>
      <c r="F1" s="93">
        <f>'Quotation sheet'!E76</f>
        <v>0</v>
      </c>
      <c r="G1" s="269"/>
      <c r="H1" s="269"/>
      <c r="I1" s="270"/>
    </row>
    <row r="2" spans="1:13">
      <c r="A2" s="266" t="s">
        <v>1801</v>
      </c>
      <c r="B2" s="104"/>
      <c r="D2" s="410"/>
      <c r="E2" s="268" t="s">
        <v>104</v>
      </c>
      <c r="F2" s="94">
        <f>1-F1</f>
        <v>1</v>
      </c>
      <c r="G2" s="269"/>
      <c r="H2" s="269"/>
      <c r="I2" s="270"/>
    </row>
    <row r="3" spans="1:13">
      <c r="A3" s="266" t="s">
        <v>98</v>
      </c>
      <c r="B3" s="258"/>
      <c r="D3" s="410"/>
      <c r="E3" s="269"/>
      <c r="F3" s="271"/>
      <c r="G3" s="269"/>
      <c r="H3" s="269"/>
      <c r="I3" s="270"/>
    </row>
    <row r="4" spans="1:13">
      <c r="A4" s="266" t="s">
        <v>99</v>
      </c>
      <c r="B4" s="101"/>
      <c r="D4" s="410"/>
      <c r="E4" s="269"/>
      <c r="F4" s="271"/>
      <c r="G4" s="269"/>
      <c r="H4" s="269"/>
      <c r="I4" s="270"/>
    </row>
    <row r="5" spans="1:13" collapsed="1">
      <c r="A5" s="266" t="s">
        <v>105</v>
      </c>
      <c r="B5" s="272">
        <f>A34</f>
        <v>0</v>
      </c>
      <c r="D5" s="410"/>
      <c r="F5" s="266"/>
      <c r="G5" s="273"/>
      <c r="M5" s="270"/>
    </row>
    <row r="6" spans="1:13">
      <c r="A6" s="266" t="s">
        <v>106</v>
      </c>
      <c r="B6" s="109">
        <f>SUM(A93:A106)</f>
        <v>0</v>
      </c>
      <c r="D6" s="410"/>
      <c r="E6" s="266"/>
      <c r="F6" s="274"/>
      <c r="M6" s="270"/>
    </row>
    <row r="7" spans="1:13">
      <c r="A7" s="266" t="s">
        <v>107</v>
      </c>
      <c r="B7" s="104" t="s">
        <v>108</v>
      </c>
      <c r="C7" s="412" t="s">
        <v>109</v>
      </c>
      <c r="D7" s="412"/>
      <c r="E7" s="266"/>
      <c r="F7" s="266"/>
      <c r="M7" s="270"/>
    </row>
    <row r="8" spans="1:13">
      <c r="A8" s="266" t="s">
        <v>110</v>
      </c>
      <c r="B8" s="258">
        <v>0</v>
      </c>
      <c r="C8" s="412" t="s">
        <v>111</v>
      </c>
      <c r="D8" s="412"/>
      <c r="E8" s="266"/>
      <c r="F8" s="266"/>
      <c r="G8" s="273"/>
      <c r="M8" s="270"/>
    </row>
    <row r="9" spans="1:13">
      <c r="A9" s="266" t="s">
        <v>112</v>
      </c>
      <c r="B9" s="272">
        <f>((SUM(B357:B374)+SUM(B378:B395))/16)* IF(B7="Makkelijk", 0.8, IF(B7="Standaard", 1, IF(B7="Moeilijk", 1.2, 1)))</f>
        <v>0</v>
      </c>
      <c r="C9" s="412" t="s">
        <v>113</v>
      </c>
      <c r="D9" s="412"/>
      <c r="E9" s="266"/>
      <c r="F9" s="266"/>
      <c r="G9" s="273"/>
      <c r="M9" s="270"/>
    </row>
    <row r="10" spans="1:13" ht="18.75" thickBot="1">
      <c r="A10" s="275" t="s">
        <v>1816</v>
      </c>
      <c r="B10" s="276"/>
      <c r="C10" s="276"/>
      <c r="D10" s="276"/>
      <c r="E10" s="276"/>
      <c r="F10" s="276"/>
      <c r="G10" s="276"/>
      <c r="H10" s="276"/>
      <c r="I10" s="276"/>
    </row>
    <row r="11" spans="1:13" ht="18.75" hidden="1" outlineLevel="1" thickTop="1">
      <c r="A11" s="266" t="s">
        <v>1802</v>
      </c>
      <c r="B11" s="267" t="s">
        <v>1627</v>
      </c>
      <c r="D11" s="266"/>
      <c r="F11" s="270"/>
      <c r="G11" s="269"/>
      <c r="H11" s="269"/>
      <c r="I11" s="270"/>
    </row>
    <row r="12" spans="1:13" ht="18.75" hidden="1" outlineLevel="1" thickTop="1">
      <c r="A12" s="266" t="s">
        <v>1803</v>
      </c>
      <c r="B12" s="101">
        <v>0</v>
      </c>
      <c r="D12" s="266"/>
      <c r="G12" s="273"/>
      <c r="M12" s="270"/>
    </row>
    <row r="13" spans="1:13" ht="18.75" hidden="1" outlineLevel="1" thickTop="1">
      <c r="A13" s="266" t="s">
        <v>1804</v>
      </c>
      <c r="B13" s="101">
        <v>0</v>
      </c>
      <c r="D13" s="266"/>
      <c r="G13" s="273"/>
      <c r="M13" s="270"/>
    </row>
    <row r="14" spans="1:13" ht="7.5" hidden="1" customHeight="1" outlineLevel="1">
      <c r="A14" s="266"/>
      <c r="B14" s="277"/>
      <c r="D14" s="266"/>
      <c r="G14" s="273"/>
      <c r="M14" s="270"/>
    </row>
    <row r="15" spans="1:13" ht="18.75" hidden="1" outlineLevel="1" thickTop="1">
      <c r="A15" s="266" t="s">
        <v>1805</v>
      </c>
      <c r="B15" s="267" t="s">
        <v>1814</v>
      </c>
      <c r="D15" s="266"/>
      <c r="G15" s="273"/>
      <c r="M15" s="270"/>
    </row>
    <row r="16" spans="1:13" ht="18.75" hidden="1" outlineLevel="1" thickTop="1">
      <c r="A16" s="266" t="s">
        <v>1806</v>
      </c>
      <c r="B16" s="101">
        <v>0</v>
      </c>
      <c r="D16" s="266"/>
      <c r="G16" s="273"/>
      <c r="M16" s="270"/>
    </row>
    <row r="17" spans="1:13" ht="18.75" hidden="1" outlineLevel="1" thickTop="1">
      <c r="A17" s="266" t="s">
        <v>1807</v>
      </c>
      <c r="B17" s="101">
        <v>0</v>
      </c>
      <c r="D17" s="266"/>
      <c r="G17" s="273"/>
      <c r="M17" s="270"/>
    </row>
    <row r="18" spans="1:13" ht="7.5" hidden="1" customHeight="1" outlineLevel="1">
      <c r="A18" s="266"/>
      <c r="B18" s="277"/>
      <c r="D18" s="266"/>
      <c r="G18" s="273"/>
      <c r="M18" s="270"/>
    </row>
    <row r="19" spans="1:13" ht="18.75" hidden="1" outlineLevel="1" thickTop="1">
      <c r="A19" s="266" t="s">
        <v>1808</v>
      </c>
      <c r="B19" s="267" t="s">
        <v>1815</v>
      </c>
      <c r="D19" s="266"/>
      <c r="G19" s="273"/>
      <c r="M19" s="270"/>
    </row>
    <row r="20" spans="1:13" ht="18.75" hidden="1" outlineLevel="1" thickTop="1">
      <c r="A20" s="266" t="s">
        <v>1809</v>
      </c>
      <c r="B20" s="101">
        <v>0</v>
      </c>
      <c r="D20" s="266"/>
      <c r="G20" s="273"/>
      <c r="M20" s="270"/>
    </row>
    <row r="21" spans="1:13" ht="18.75" hidden="1" outlineLevel="1" thickTop="1">
      <c r="A21" s="266" t="s">
        <v>1810</v>
      </c>
      <c r="B21" s="101">
        <v>0</v>
      </c>
      <c r="D21" s="266"/>
      <c r="G21" s="273"/>
      <c r="M21" s="270"/>
    </row>
    <row r="22" spans="1:13" ht="7.5" hidden="1" customHeight="1" outlineLevel="1">
      <c r="A22" s="266"/>
      <c r="B22" s="277"/>
      <c r="D22" s="266"/>
      <c r="G22" s="273"/>
      <c r="M22" s="270"/>
    </row>
    <row r="23" spans="1:13" ht="18.75" hidden="1" outlineLevel="1" thickTop="1">
      <c r="A23" s="266" t="s">
        <v>1811</v>
      </c>
      <c r="B23" s="267" t="s">
        <v>100</v>
      </c>
      <c r="D23" s="266"/>
      <c r="G23" s="273"/>
      <c r="M23" s="270"/>
    </row>
    <row r="24" spans="1:13" ht="18.75" hidden="1" outlineLevel="1" thickTop="1">
      <c r="A24" s="266" t="s">
        <v>1812</v>
      </c>
      <c r="B24" s="101">
        <v>0</v>
      </c>
      <c r="D24" s="266"/>
      <c r="G24" s="273"/>
      <c r="M24" s="270"/>
    </row>
    <row r="25" spans="1:13" ht="18.75" hidden="1" outlineLevel="1" thickTop="1">
      <c r="A25" s="266" t="s">
        <v>1813</v>
      </c>
      <c r="B25" s="101">
        <v>0</v>
      </c>
      <c r="D25" s="266"/>
      <c r="G25" s="273"/>
      <c r="M25" s="270"/>
    </row>
    <row r="26" spans="1:13" ht="54.75" collapsed="1" thickTop="1">
      <c r="A26" s="268" t="s">
        <v>114</v>
      </c>
      <c r="D26" s="268" t="s">
        <v>115</v>
      </c>
      <c r="E26" s="268" t="s">
        <v>116</v>
      </c>
      <c r="F26" s="278" t="s">
        <v>117</v>
      </c>
      <c r="H26" s="279" t="s">
        <v>118</v>
      </c>
      <c r="I26" s="279" t="s">
        <v>119</v>
      </c>
      <c r="M26" s="270"/>
    </row>
    <row r="27" spans="1:13" ht="18.75" thickBot="1">
      <c r="A27" s="268"/>
      <c r="B27" s="268"/>
      <c r="C27" s="268"/>
      <c r="D27" s="268"/>
      <c r="E27" s="280"/>
      <c r="F27" s="266"/>
      <c r="G27" s="273"/>
    </row>
    <row r="28" spans="1:13" ht="18.75" thickBot="1">
      <c r="A28" s="413" t="s">
        <v>95</v>
      </c>
      <c r="B28" s="414"/>
      <c r="C28" s="414"/>
      <c r="D28" s="414"/>
      <c r="E28" s="414"/>
      <c r="F28" s="414"/>
      <c r="G28" s="414"/>
      <c r="H28" s="414"/>
      <c r="I28" s="415"/>
    </row>
    <row r="29" spans="1:13">
      <c r="A29" s="281"/>
      <c r="B29" s="281"/>
      <c r="C29" s="281"/>
      <c r="D29" s="281"/>
      <c r="E29" s="281"/>
      <c r="F29" s="281"/>
      <c r="G29" s="281"/>
      <c r="H29" s="281"/>
    </row>
    <row r="30" spans="1:13" ht="18.75" thickBot="1">
      <c r="A30" s="275" t="s">
        <v>1711</v>
      </c>
      <c r="B30" s="276"/>
      <c r="C30" s="276"/>
      <c r="D30" s="276"/>
      <c r="E30" s="276"/>
      <c r="F30" s="276"/>
      <c r="G30" s="276" t="s">
        <v>132</v>
      </c>
      <c r="H30" s="97">
        <f>SUM(H31:H71)</f>
        <v>0</v>
      </c>
      <c r="I30" s="259"/>
    </row>
    <row r="31" spans="1:13" ht="18.75" hidden="1" outlineLevel="1" thickTop="1">
      <c r="A31" s="104">
        <v>0</v>
      </c>
      <c r="B31" s="282" t="s">
        <v>1728</v>
      </c>
      <c r="C31" s="283" t="s">
        <v>1777</v>
      </c>
      <c r="D31" s="284" t="s">
        <v>120</v>
      </c>
      <c r="E31" s="284" t="s">
        <v>121</v>
      </c>
      <c r="F31" s="102">
        <v>0</v>
      </c>
      <c r="G31" s="266"/>
      <c r="H31" s="95">
        <f>PRODUCT(A31,F31)</f>
        <v>0</v>
      </c>
      <c r="I31" s="103"/>
    </row>
    <row r="32" spans="1:13" ht="18.75" hidden="1" outlineLevel="1" thickBot="1">
      <c r="A32" s="282"/>
      <c r="B32" s="282"/>
      <c r="C32" s="283"/>
      <c r="D32" s="285" t="s">
        <v>122</v>
      </c>
      <c r="E32" s="284"/>
      <c r="F32" s="96"/>
      <c r="G32" s="266"/>
      <c r="H32" s="40"/>
      <c r="I32" s="286"/>
    </row>
    <row r="33" spans="1:9" ht="18.75" hidden="1" outlineLevel="1" thickTop="1">
      <c r="A33" s="100">
        <v>0</v>
      </c>
      <c r="B33" s="287"/>
      <c r="C33" s="283" t="s">
        <v>1777</v>
      </c>
      <c r="D33" s="288" t="s">
        <v>123</v>
      </c>
      <c r="E33" s="284" t="s">
        <v>121</v>
      </c>
      <c r="F33" s="102">
        <v>0</v>
      </c>
      <c r="G33" s="266"/>
      <c r="H33" s="95">
        <f t="shared" ref="H33:H51" si="0">PRODUCT(A33,F33)</f>
        <v>0</v>
      </c>
      <c r="I33" s="103"/>
    </row>
    <row r="34" spans="1:9" hidden="1" outlineLevel="1">
      <c r="A34" s="104">
        <v>0</v>
      </c>
      <c r="B34" s="282" t="s">
        <v>1728</v>
      </c>
      <c r="C34" s="283" t="s">
        <v>1777</v>
      </c>
      <c r="D34" s="288" t="s">
        <v>124</v>
      </c>
      <c r="E34" s="284" t="s">
        <v>121</v>
      </c>
      <c r="F34" s="102">
        <v>0</v>
      </c>
      <c r="G34" s="266"/>
      <c r="H34" s="95">
        <f t="shared" si="0"/>
        <v>0</v>
      </c>
      <c r="I34" s="103"/>
    </row>
    <row r="35" spans="1:9" hidden="1" outlineLevel="1">
      <c r="A35" s="100">
        <v>0</v>
      </c>
      <c r="C35" s="283" t="s">
        <v>1777</v>
      </c>
      <c r="D35" s="289" t="s">
        <v>125</v>
      </c>
      <c r="E35" s="284" t="s">
        <v>121</v>
      </c>
      <c r="F35" s="102">
        <v>0</v>
      </c>
      <c r="G35" s="266"/>
      <c r="H35" s="95">
        <f t="shared" si="0"/>
        <v>0</v>
      </c>
      <c r="I35" s="103"/>
    </row>
    <row r="36" spans="1:9" hidden="1" outlineLevel="1">
      <c r="A36" s="100">
        <v>0</v>
      </c>
      <c r="C36" s="283" t="s">
        <v>1777</v>
      </c>
      <c r="D36" s="289" t="s">
        <v>126</v>
      </c>
      <c r="E36" s="284" t="s">
        <v>121</v>
      </c>
      <c r="F36" s="102">
        <v>0</v>
      </c>
      <c r="G36" s="266"/>
      <c r="H36" s="95">
        <f t="shared" si="0"/>
        <v>0</v>
      </c>
      <c r="I36" s="103"/>
    </row>
    <row r="37" spans="1:9" hidden="1" outlineLevel="1">
      <c r="A37" s="100">
        <v>0</v>
      </c>
      <c r="C37" s="283" t="s">
        <v>1777</v>
      </c>
      <c r="D37" s="100"/>
      <c r="E37" s="284" t="s">
        <v>121</v>
      </c>
      <c r="F37" s="102">
        <v>0</v>
      </c>
      <c r="G37" s="266"/>
      <c r="H37" s="95">
        <f t="shared" si="0"/>
        <v>0</v>
      </c>
      <c r="I37" s="103"/>
    </row>
    <row r="38" spans="1:9" hidden="1" outlineLevel="1">
      <c r="A38" s="100">
        <v>0</v>
      </c>
      <c r="C38" s="283" t="s">
        <v>1777</v>
      </c>
      <c r="D38" s="100"/>
      <c r="E38" s="284" t="s">
        <v>121</v>
      </c>
      <c r="F38" s="102">
        <v>0</v>
      </c>
      <c r="G38" s="266"/>
      <c r="H38" s="95">
        <f t="shared" si="0"/>
        <v>0</v>
      </c>
      <c r="I38" s="103"/>
    </row>
    <row r="39" spans="1:9" hidden="1" outlineLevel="1">
      <c r="A39" s="100">
        <v>0</v>
      </c>
      <c r="C39" s="283" t="s">
        <v>1777</v>
      </c>
      <c r="D39" s="100"/>
      <c r="E39" s="284" t="s">
        <v>121</v>
      </c>
      <c r="F39" s="102">
        <v>0</v>
      </c>
      <c r="G39" s="266"/>
      <c r="H39" s="95">
        <f t="shared" si="0"/>
        <v>0</v>
      </c>
      <c r="I39" s="103"/>
    </row>
    <row r="40" spans="1:9" hidden="1" outlineLevel="1">
      <c r="A40" s="100">
        <v>0</v>
      </c>
      <c r="C40" s="283" t="s">
        <v>1777</v>
      </c>
      <c r="D40" s="100"/>
      <c r="E40" s="284" t="s">
        <v>121</v>
      </c>
      <c r="F40" s="102">
        <v>0</v>
      </c>
      <c r="G40" s="266"/>
      <c r="H40" s="95">
        <f t="shared" si="0"/>
        <v>0</v>
      </c>
      <c r="I40" s="103"/>
    </row>
    <row r="41" spans="1:9" hidden="1" outlineLevel="1">
      <c r="A41" s="100">
        <v>0</v>
      </c>
      <c r="C41" s="283" t="s">
        <v>1777</v>
      </c>
      <c r="D41" s="100"/>
      <c r="E41" s="284" t="s">
        <v>121</v>
      </c>
      <c r="F41" s="102">
        <v>0</v>
      </c>
      <c r="G41" s="266"/>
      <c r="H41" s="95">
        <f t="shared" si="0"/>
        <v>0</v>
      </c>
      <c r="I41" s="103"/>
    </row>
    <row r="42" spans="1:9" hidden="1" outlineLevel="1">
      <c r="A42" s="100">
        <v>0</v>
      </c>
      <c r="C42" s="283" t="s">
        <v>1777</v>
      </c>
      <c r="D42" s="100"/>
      <c r="E42" s="284" t="s">
        <v>121</v>
      </c>
      <c r="F42" s="102">
        <v>0</v>
      </c>
      <c r="G42" s="266"/>
      <c r="H42" s="95">
        <f t="shared" si="0"/>
        <v>0</v>
      </c>
      <c r="I42" s="103"/>
    </row>
    <row r="43" spans="1:9" hidden="1" outlineLevel="1">
      <c r="A43" s="100">
        <v>0</v>
      </c>
      <c r="C43" s="283" t="s">
        <v>1777</v>
      </c>
      <c r="D43" s="100"/>
      <c r="E43" s="284" t="s">
        <v>121</v>
      </c>
      <c r="F43" s="102">
        <v>0</v>
      </c>
      <c r="G43" s="266"/>
      <c r="H43" s="95">
        <f t="shared" si="0"/>
        <v>0</v>
      </c>
      <c r="I43" s="103"/>
    </row>
    <row r="44" spans="1:9" hidden="1" outlineLevel="1">
      <c r="A44" s="100">
        <v>0</v>
      </c>
      <c r="C44" s="283" t="s">
        <v>1777</v>
      </c>
      <c r="D44" s="100"/>
      <c r="E44" s="284" t="s">
        <v>121</v>
      </c>
      <c r="F44" s="102">
        <v>0</v>
      </c>
      <c r="G44" s="266"/>
      <c r="H44" s="95">
        <f t="shared" si="0"/>
        <v>0</v>
      </c>
      <c r="I44" s="103"/>
    </row>
    <row r="45" spans="1:9" hidden="1" outlineLevel="1">
      <c r="A45" s="100">
        <v>0</v>
      </c>
      <c r="C45" s="283" t="s">
        <v>1777</v>
      </c>
      <c r="D45" s="100"/>
      <c r="E45" s="284" t="s">
        <v>121</v>
      </c>
      <c r="F45" s="102">
        <v>0</v>
      </c>
      <c r="G45" s="266"/>
      <c r="H45" s="95">
        <f t="shared" si="0"/>
        <v>0</v>
      </c>
      <c r="I45" s="103"/>
    </row>
    <row r="46" spans="1:9" hidden="1" outlineLevel="1">
      <c r="A46" s="100">
        <v>0</v>
      </c>
      <c r="C46" s="283" t="s">
        <v>1777</v>
      </c>
      <c r="D46" s="100"/>
      <c r="E46" s="284" t="s">
        <v>121</v>
      </c>
      <c r="F46" s="102">
        <v>0</v>
      </c>
      <c r="G46" s="266"/>
      <c r="H46" s="95">
        <f t="shared" si="0"/>
        <v>0</v>
      </c>
      <c r="I46" s="103"/>
    </row>
    <row r="47" spans="1:9" hidden="1" outlineLevel="1">
      <c r="A47" s="100">
        <v>0</v>
      </c>
      <c r="C47" s="283" t="s">
        <v>1777</v>
      </c>
      <c r="D47" s="100"/>
      <c r="E47" s="284" t="s">
        <v>121</v>
      </c>
      <c r="F47" s="102">
        <v>0</v>
      </c>
      <c r="G47" s="266"/>
      <c r="H47" s="95">
        <f t="shared" si="0"/>
        <v>0</v>
      </c>
      <c r="I47" s="103"/>
    </row>
    <row r="48" spans="1:9" hidden="1" outlineLevel="1">
      <c r="A48" s="100">
        <v>0</v>
      </c>
      <c r="C48" s="283" t="s">
        <v>1777</v>
      </c>
      <c r="D48" s="100"/>
      <c r="E48" s="284" t="s">
        <v>121</v>
      </c>
      <c r="F48" s="102">
        <v>0</v>
      </c>
      <c r="G48" s="266"/>
      <c r="H48" s="95">
        <f t="shared" si="0"/>
        <v>0</v>
      </c>
      <c r="I48" s="103"/>
    </row>
    <row r="49" spans="1:9" hidden="1" outlineLevel="1">
      <c r="A49" s="100">
        <v>0</v>
      </c>
      <c r="C49" s="283" t="s">
        <v>1777</v>
      </c>
      <c r="D49" s="100"/>
      <c r="E49" s="284" t="s">
        <v>121</v>
      </c>
      <c r="F49" s="102">
        <v>0</v>
      </c>
      <c r="G49" s="266"/>
      <c r="H49" s="95">
        <f t="shared" si="0"/>
        <v>0</v>
      </c>
      <c r="I49" s="103"/>
    </row>
    <row r="50" spans="1:9" hidden="1" outlineLevel="1">
      <c r="A50" s="100">
        <v>0</v>
      </c>
      <c r="C50" s="283" t="s">
        <v>1777</v>
      </c>
      <c r="D50" s="100"/>
      <c r="E50" s="284" t="s">
        <v>121</v>
      </c>
      <c r="F50" s="102">
        <v>0</v>
      </c>
      <c r="G50" s="266"/>
      <c r="H50" s="95">
        <f t="shared" si="0"/>
        <v>0</v>
      </c>
      <c r="I50" s="103"/>
    </row>
    <row r="51" spans="1:9" hidden="1" outlineLevel="1">
      <c r="A51" s="100">
        <v>0</v>
      </c>
      <c r="C51" s="283" t="s">
        <v>1777</v>
      </c>
      <c r="D51" s="100"/>
      <c r="E51" s="284" t="s">
        <v>121</v>
      </c>
      <c r="F51" s="102">
        <v>0</v>
      </c>
      <c r="G51" s="266"/>
      <c r="H51" s="95">
        <f t="shared" si="0"/>
        <v>0</v>
      </c>
      <c r="I51" s="103"/>
    </row>
    <row r="52" spans="1:9" ht="18.75" hidden="1" outlineLevel="1" thickBot="1">
      <c r="A52" s="282"/>
      <c r="B52" s="282"/>
      <c r="C52" s="283"/>
      <c r="D52" s="290" t="s">
        <v>127</v>
      </c>
      <c r="E52" s="284"/>
      <c r="F52" s="96"/>
      <c r="G52" s="266"/>
      <c r="H52" s="40"/>
      <c r="I52" s="286"/>
    </row>
    <row r="53" spans="1:9" ht="18.75" hidden="1" outlineLevel="1" thickTop="1">
      <c r="A53" s="100">
        <v>0</v>
      </c>
      <c r="C53" s="283" t="s">
        <v>1777</v>
      </c>
      <c r="D53" s="289" t="s">
        <v>128</v>
      </c>
      <c r="E53" s="284" t="s">
        <v>121</v>
      </c>
      <c r="F53" s="102">
        <v>0</v>
      </c>
      <c r="G53" s="266"/>
      <c r="H53" s="95">
        <f t="shared" ref="H53:H71" si="1">PRODUCT(A53,F53)</f>
        <v>0</v>
      </c>
      <c r="I53" s="103"/>
    </row>
    <row r="54" spans="1:9" hidden="1" outlineLevel="1">
      <c r="A54" s="100">
        <v>0</v>
      </c>
      <c r="C54" s="283" t="s">
        <v>1777</v>
      </c>
      <c r="D54" s="267" t="s">
        <v>129</v>
      </c>
      <c r="E54" s="284" t="s">
        <v>121</v>
      </c>
      <c r="F54" s="102">
        <v>0</v>
      </c>
      <c r="G54" s="266"/>
      <c r="H54" s="95">
        <f t="shared" si="1"/>
        <v>0</v>
      </c>
      <c r="I54" s="103"/>
    </row>
    <row r="55" spans="1:9" hidden="1" outlineLevel="1">
      <c r="A55" s="100">
        <v>0</v>
      </c>
      <c r="C55" s="283" t="s">
        <v>1777</v>
      </c>
      <c r="D55" s="267" t="s">
        <v>130</v>
      </c>
      <c r="E55" s="284" t="s">
        <v>121</v>
      </c>
      <c r="F55" s="102">
        <v>0</v>
      </c>
      <c r="G55" s="266"/>
      <c r="H55" s="95">
        <f t="shared" si="1"/>
        <v>0</v>
      </c>
      <c r="I55" s="103"/>
    </row>
    <row r="56" spans="1:9" hidden="1" outlineLevel="1">
      <c r="A56" s="100">
        <v>0</v>
      </c>
      <c r="C56" s="283" t="s">
        <v>1777</v>
      </c>
      <c r="D56" s="267" t="s">
        <v>131</v>
      </c>
      <c r="E56" s="284" t="s">
        <v>121</v>
      </c>
      <c r="F56" s="102">
        <v>0</v>
      </c>
      <c r="G56" s="266"/>
      <c r="H56" s="95">
        <f t="shared" si="1"/>
        <v>0</v>
      </c>
      <c r="I56" s="103"/>
    </row>
    <row r="57" spans="1:9" hidden="1" outlineLevel="1">
      <c r="A57" s="100">
        <v>0</v>
      </c>
      <c r="C57" s="283" t="s">
        <v>1777</v>
      </c>
      <c r="D57" s="100"/>
      <c r="E57" s="284" t="s">
        <v>121</v>
      </c>
      <c r="F57" s="102">
        <v>0</v>
      </c>
      <c r="G57" s="266"/>
      <c r="H57" s="95">
        <f t="shared" si="1"/>
        <v>0</v>
      </c>
      <c r="I57" s="103"/>
    </row>
    <row r="58" spans="1:9" hidden="1" outlineLevel="1">
      <c r="A58" s="100">
        <v>0</v>
      </c>
      <c r="C58" s="283" t="s">
        <v>1777</v>
      </c>
      <c r="D58" s="100"/>
      <c r="E58" s="284" t="s">
        <v>121</v>
      </c>
      <c r="F58" s="102">
        <v>0</v>
      </c>
      <c r="G58" s="266"/>
      <c r="H58" s="95">
        <f t="shared" si="1"/>
        <v>0</v>
      </c>
      <c r="I58" s="103"/>
    </row>
    <row r="59" spans="1:9" hidden="1" outlineLevel="1">
      <c r="A59" s="100">
        <v>0</v>
      </c>
      <c r="C59" s="283" t="s">
        <v>1777</v>
      </c>
      <c r="D59" s="100"/>
      <c r="E59" s="284" t="s">
        <v>121</v>
      </c>
      <c r="F59" s="102">
        <v>0</v>
      </c>
      <c r="G59" s="266"/>
      <c r="H59" s="95">
        <f t="shared" si="1"/>
        <v>0</v>
      </c>
      <c r="I59" s="103"/>
    </row>
    <row r="60" spans="1:9" hidden="1" outlineLevel="1">
      <c r="A60" s="100">
        <v>0</v>
      </c>
      <c r="C60" s="283" t="s">
        <v>1777</v>
      </c>
      <c r="D60" s="100"/>
      <c r="E60" s="284" t="s">
        <v>121</v>
      </c>
      <c r="F60" s="102">
        <v>0</v>
      </c>
      <c r="G60" s="266"/>
      <c r="H60" s="95">
        <f t="shared" si="1"/>
        <v>0</v>
      </c>
      <c r="I60" s="103"/>
    </row>
    <row r="61" spans="1:9" hidden="1" outlineLevel="1">
      <c r="A61" s="100">
        <v>0</v>
      </c>
      <c r="C61" s="283" t="s">
        <v>1777</v>
      </c>
      <c r="D61" s="100"/>
      <c r="E61" s="284" t="s">
        <v>121</v>
      </c>
      <c r="F61" s="102">
        <v>0</v>
      </c>
      <c r="G61" s="266"/>
      <c r="H61" s="95">
        <f t="shared" si="1"/>
        <v>0</v>
      </c>
      <c r="I61" s="103"/>
    </row>
    <row r="62" spans="1:9" hidden="1" outlineLevel="1">
      <c r="A62" s="100">
        <v>0</v>
      </c>
      <c r="C62" s="283" t="s">
        <v>1777</v>
      </c>
      <c r="D62" s="100"/>
      <c r="E62" s="284" t="s">
        <v>121</v>
      </c>
      <c r="F62" s="102">
        <v>0</v>
      </c>
      <c r="G62" s="266"/>
      <c r="H62" s="95">
        <f t="shared" si="1"/>
        <v>0</v>
      </c>
      <c r="I62" s="103"/>
    </row>
    <row r="63" spans="1:9" hidden="1" outlineLevel="1">
      <c r="A63" s="100">
        <v>0</v>
      </c>
      <c r="C63" s="283" t="s">
        <v>1777</v>
      </c>
      <c r="D63" s="100"/>
      <c r="E63" s="284" t="s">
        <v>121</v>
      </c>
      <c r="F63" s="102">
        <v>0</v>
      </c>
      <c r="G63" s="266"/>
      <c r="H63" s="95">
        <f t="shared" si="1"/>
        <v>0</v>
      </c>
      <c r="I63" s="103"/>
    </row>
    <row r="64" spans="1:9" hidden="1" outlineLevel="1">
      <c r="A64" s="100">
        <v>0</v>
      </c>
      <c r="C64" s="283" t="s">
        <v>1777</v>
      </c>
      <c r="D64" s="100"/>
      <c r="E64" s="284" t="s">
        <v>121</v>
      </c>
      <c r="F64" s="102">
        <v>0</v>
      </c>
      <c r="G64" s="266"/>
      <c r="H64" s="95">
        <f t="shared" si="1"/>
        <v>0</v>
      </c>
      <c r="I64" s="103"/>
    </row>
    <row r="65" spans="1:9" hidden="1" outlineLevel="1">
      <c r="A65" s="100">
        <v>0</v>
      </c>
      <c r="C65" s="283" t="s">
        <v>1777</v>
      </c>
      <c r="D65" s="100"/>
      <c r="E65" s="284" t="s">
        <v>121</v>
      </c>
      <c r="F65" s="102">
        <v>0</v>
      </c>
      <c r="G65" s="266"/>
      <c r="H65" s="95">
        <f t="shared" si="1"/>
        <v>0</v>
      </c>
      <c r="I65" s="103"/>
    </row>
    <row r="66" spans="1:9" hidden="1" outlineLevel="1">
      <c r="A66" s="100">
        <v>0</v>
      </c>
      <c r="C66" s="283" t="s">
        <v>1777</v>
      </c>
      <c r="D66" s="100"/>
      <c r="E66" s="284" t="s">
        <v>121</v>
      </c>
      <c r="F66" s="102">
        <v>0</v>
      </c>
      <c r="G66" s="266"/>
      <c r="H66" s="95">
        <f t="shared" si="1"/>
        <v>0</v>
      </c>
      <c r="I66" s="103"/>
    </row>
    <row r="67" spans="1:9" hidden="1" outlineLevel="1">
      <c r="A67" s="100">
        <v>0</v>
      </c>
      <c r="C67" s="283" t="s">
        <v>1777</v>
      </c>
      <c r="D67" s="100"/>
      <c r="E67" s="284" t="s">
        <v>121</v>
      </c>
      <c r="F67" s="102">
        <v>0</v>
      </c>
      <c r="G67" s="266"/>
      <c r="H67" s="95">
        <f t="shared" si="1"/>
        <v>0</v>
      </c>
      <c r="I67" s="103"/>
    </row>
    <row r="68" spans="1:9" hidden="1" outlineLevel="1">
      <c r="A68" s="100">
        <v>0</v>
      </c>
      <c r="C68" s="283" t="s">
        <v>1777</v>
      </c>
      <c r="D68" s="100"/>
      <c r="E68" s="284" t="s">
        <v>121</v>
      </c>
      <c r="F68" s="102">
        <v>0</v>
      </c>
      <c r="G68" s="266"/>
      <c r="H68" s="95">
        <f t="shared" si="1"/>
        <v>0</v>
      </c>
      <c r="I68" s="103"/>
    </row>
    <row r="69" spans="1:9" hidden="1" outlineLevel="1">
      <c r="A69" s="100">
        <v>0</v>
      </c>
      <c r="C69" s="283" t="s">
        <v>1777</v>
      </c>
      <c r="D69" s="100"/>
      <c r="E69" s="284" t="s">
        <v>121</v>
      </c>
      <c r="F69" s="102">
        <v>0</v>
      </c>
      <c r="G69" s="266"/>
      <c r="H69" s="95">
        <f t="shared" si="1"/>
        <v>0</v>
      </c>
      <c r="I69" s="103"/>
    </row>
    <row r="70" spans="1:9" hidden="1" outlineLevel="1">
      <c r="A70" s="100">
        <v>0</v>
      </c>
      <c r="C70" s="283" t="s">
        <v>1777</v>
      </c>
      <c r="D70" s="100"/>
      <c r="E70" s="284" t="s">
        <v>121</v>
      </c>
      <c r="F70" s="102">
        <v>0</v>
      </c>
      <c r="G70" s="266"/>
      <c r="H70" s="95">
        <f t="shared" si="1"/>
        <v>0</v>
      </c>
      <c r="I70" s="103"/>
    </row>
    <row r="71" spans="1:9" hidden="1" outlineLevel="1">
      <c r="A71" s="100">
        <v>0</v>
      </c>
      <c r="C71" s="283" t="s">
        <v>1777</v>
      </c>
      <c r="D71" s="100"/>
      <c r="E71" s="284" t="s">
        <v>121</v>
      </c>
      <c r="F71" s="102">
        <v>0</v>
      </c>
      <c r="G71" s="266"/>
      <c r="H71" s="95">
        <f t="shared" si="1"/>
        <v>0</v>
      </c>
      <c r="I71" s="103"/>
    </row>
    <row r="72" spans="1:9" ht="18.75" collapsed="1" thickTop="1">
      <c r="A72" s="266"/>
      <c r="C72" s="266"/>
      <c r="D72" s="266"/>
      <c r="E72" s="266"/>
      <c r="F72" s="280"/>
      <c r="G72" s="266"/>
      <c r="H72" s="273"/>
      <c r="I72" s="291"/>
    </row>
    <row r="73" spans="1:9" ht="18.75" thickBot="1">
      <c r="A73" s="275" t="s">
        <v>1656</v>
      </c>
      <c r="B73" s="276"/>
      <c r="C73" s="276"/>
      <c r="D73" s="276"/>
      <c r="E73" s="276"/>
      <c r="F73" s="276"/>
      <c r="G73" s="276" t="s">
        <v>132</v>
      </c>
      <c r="H73" s="97">
        <f>SUM(H74:H90)</f>
        <v>0</v>
      </c>
      <c r="I73" s="259"/>
    </row>
    <row r="74" spans="1:9" s="266" customFormat="1" ht="18.75" hidden="1" outlineLevel="1" thickTop="1">
      <c r="A74" s="100">
        <v>0</v>
      </c>
      <c r="C74" s="292" t="s">
        <v>1777</v>
      </c>
      <c r="D74" s="266" t="s">
        <v>133</v>
      </c>
      <c r="E74" s="110" t="s">
        <v>121</v>
      </c>
      <c r="F74" s="98">
        <v>322.11</v>
      </c>
      <c r="G74" s="289"/>
      <c r="H74" s="95">
        <f t="shared" ref="H74:H90" si="2">PRODUCT(A74,F74)</f>
        <v>0</v>
      </c>
      <c r="I74" s="103" t="s">
        <v>1668</v>
      </c>
    </row>
    <row r="75" spans="1:9" s="266" customFormat="1" hidden="1" outlineLevel="1">
      <c r="A75" s="100">
        <v>0</v>
      </c>
      <c r="C75" s="292" t="s">
        <v>1777</v>
      </c>
      <c r="D75" s="266" t="s">
        <v>134</v>
      </c>
      <c r="E75" s="110" t="s">
        <v>121</v>
      </c>
      <c r="F75" s="98">
        <f>322.11+168.06</f>
        <v>490.17</v>
      </c>
      <c r="G75" s="289"/>
      <c r="H75" s="95">
        <f t="shared" si="2"/>
        <v>0</v>
      </c>
      <c r="I75" s="103" t="s">
        <v>1669</v>
      </c>
    </row>
    <row r="76" spans="1:9" s="266" customFormat="1" hidden="1" outlineLevel="1">
      <c r="A76" s="100">
        <v>0</v>
      </c>
      <c r="C76" s="292" t="s">
        <v>1777</v>
      </c>
      <c r="D76" s="266" t="s">
        <v>135</v>
      </c>
      <c r="E76" s="110" t="s">
        <v>121</v>
      </c>
      <c r="F76" s="98">
        <v>343.65</v>
      </c>
      <c r="G76" s="289"/>
      <c r="H76" s="95">
        <f t="shared" si="2"/>
        <v>0</v>
      </c>
      <c r="I76" s="103" t="s">
        <v>1670</v>
      </c>
    </row>
    <row r="77" spans="1:9" s="266" customFormat="1" hidden="1" outlineLevel="1">
      <c r="A77" s="100">
        <v>0</v>
      </c>
      <c r="C77" s="292" t="s">
        <v>1777</v>
      </c>
      <c r="D77" s="266" t="s">
        <v>136</v>
      </c>
      <c r="E77" s="110" t="s">
        <v>121</v>
      </c>
      <c r="F77" s="98">
        <f>343.65+275.5</f>
        <v>619.15</v>
      </c>
      <c r="G77" s="289"/>
      <c r="H77" s="95">
        <f t="shared" si="2"/>
        <v>0</v>
      </c>
      <c r="I77" s="103" t="s">
        <v>1671</v>
      </c>
    </row>
    <row r="78" spans="1:9" s="266" customFormat="1" hidden="1" outlineLevel="1">
      <c r="A78" s="100">
        <v>0</v>
      </c>
      <c r="C78" s="266" t="s">
        <v>137</v>
      </c>
      <c r="D78" s="266" t="str">
        <f>VLOOKUP(C78,YIMM!$E:$F,2,FALSE)</f>
        <v>Aircobase balk recycled Heavy Duty 1,5m</v>
      </c>
      <c r="E78" s="266" t="str">
        <f>VLOOKUP(C78,YIMM!$E:$O,11,FALSE)</f>
        <v>ST</v>
      </c>
      <c r="F78" s="331">
        <f>VLOOKUP(C78,YIMM!$E:$O,10,FALSE)</f>
        <v>29.99</v>
      </c>
      <c r="G78" s="289"/>
      <c r="H78" s="95">
        <f t="shared" si="2"/>
        <v>0</v>
      </c>
      <c r="I78" s="103"/>
    </row>
    <row r="79" spans="1:9" s="266" customFormat="1" hidden="1" outlineLevel="1">
      <c r="A79" s="100">
        <v>0</v>
      </c>
      <c r="C79" s="266" t="s">
        <v>2410</v>
      </c>
      <c r="D79" s="266" t="str">
        <f>VLOOKUP(C79,YIMM!$E:$F,2,FALSE)</f>
        <v>Premium opstelbalk - 60cm incl.bouten</v>
      </c>
      <c r="E79" s="266" t="str">
        <f>VLOOKUP(C79,YIMM!$E:$O,11,FALSE)</f>
        <v>ST</v>
      </c>
      <c r="F79" s="331">
        <f>VLOOKUP(C79,YIMM!$E:$O,10,FALSE)</f>
        <v>10.18</v>
      </c>
      <c r="G79" s="289"/>
      <c r="H79" s="95">
        <f t="shared" si="2"/>
        <v>0</v>
      </c>
      <c r="I79" s="103"/>
    </row>
    <row r="80" spans="1:9" s="266" customFormat="1" hidden="1" outlineLevel="1">
      <c r="A80" s="100">
        <v>0</v>
      </c>
      <c r="C80" s="266" t="s">
        <v>139</v>
      </c>
      <c r="D80" s="266" t="str">
        <f>VLOOKUP(C80,YIMM!$E:$F,2,FALSE)</f>
        <v>Big foot balk RF1000 1000x160x95</v>
      </c>
      <c r="E80" s="266" t="str">
        <f>VLOOKUP(C80,YIMM!$E:$O,11,FALSE)</f>
        <v>ST</v>
      </c>
      <c r="F80" s="331">
        <f>VLOOKUP(C80,YIMM!$E:$O,10,FALSE)</f>
        <v>9.74</v>
      </c>
      <c r="G80" s="289"/>
      <c r="H80" s="95">
        <f t="shared" si="2"/>
        <v>0</v>
      </c>
      <c r="I80" s="103"/>
    </row>
    <row r="81" spans="1:9" s="266" customFormat="1" hidden="1" outlineLevel="1">
      <c r="A81" s="100">
        <v>0</v>
      </c>
      <c r="C81" s="266" t="s">
        <v>140</v>
      </c>
      <c r="D81" s="266" t="str">
        <f>VLOOKUP(C81,YIMM!$E:$F,2,FALSE)</f>
        <v>BlueDiamond rubberen montagevoeten</v>
      </c>
      <c r="E81" s="266" t="str">
        <f>VLOOKUP(C81,YIMM!$E:$O,11,FALSE)</f>
        <v>ST</v>
      </c>
      <c r="F81" s="331">
        <f>VLOOKUP(C81,YIMM!$E:$O,10,FALSE)</f>
        <v>23.88</v>
      </c>
      <c r="G81" s="289"/>
      <c r="H81" s="95">
        <f t="shared" si="2"/>
        <v>0</v>
      </c>
      <c r="I81" s="103"/>
    </row>
    <row r="82" spans="1:9" s="266" customFormat="1" hidden="1" outlineLevel="1">
      <c r="A82" s="100">
        <v>0</v>
      </c>
      <c r="C82" s="266" t="s">
        <v>255</v>
      </c>
      <c r="D82" s="266" t="str">
        <f>VLOOKUP(C82,YIMM!$E:$F,2,FALSE)</f>
        <v>ILP bloc high 0,60 x 019 x 0,20m incl.</v>
      </c>
      <c r="E82" s="266" t="str">
        <f>VLOOKUP(C82,YIMM!$E:$O,11,FALSE)</f>
        <v>ST</v>
      </c>
      <c r="F82" s="331">
        <f>VLOOKUP(C82,YIMM!$E:$O,10,FALSE)</f>
        <v>24.58</v>
      </c>
      <c r="G82" s="293"/>
      <c r="H82" s="293">
        <f t="shared" si="2"/>
        <v>0</v>
      </c>
      <c r="I82" s="103"/>
    </row>
    <row r="83" spans="1:9" s="266" customFormat="1" hidden="1" outlineLevel="1">
      <c r="A83" s="100">
        <v>0</v>
      </c>
      <c r="C83" s="266" t="s">
        <v>256</v>
      </c>
      <c r="D83" s="266" t="str">
        <f>VLOOKUP(C83,YIMM!$E:$F,2,FALSE)</f>
        <v>Prem. balk hoog 1,00 x 0,19 x 0,20m</v>
      </c>
      <c r="E83" s="266" t="str">
        <f>VLOOKUP(C83,YIMM!$E:$O,11,FALSE)</f>
        <v>ST</v>
      </c>
      <c r="F83" s="331">
        <f>VLOOKUP(C83,YIMM!$E:$O,10,FALSE)</f>
        <v>43.5</v>
      </c>
      <c r="G83" s="293"/>
      <c r="H83" s="293">
        <f t="shared" si="2"/>
        <v>0</v>
      </c>
      <c r="I83" s="103"/>
    </row>
    <row r="84" spans="1:9" s="266" customFormat="1" hidden="1" outlineLevel="1">
      <c r="A84" s="100">
        <v>0</v>
      </c>
      <c r="C84" s="266" t="s">
        <v>258</v>
      </c>
      <c r="D84" s="266" t="str">
        <f>VLOOKUP(C84,YIMM!$E:$F,2,FALSE)</f>
        <v>MPC-consoleset zonder geluidd. l=560</v>
      </c>
      <c r="E84" s="266" t="str">
        <f>VLOOKUP(C84,YIMM!$E:$O,11,FALSE)</f>
        <v>ST</v>
      </c>
      <c r="F84" s="331">
        <f>VLOOKUP(C84,YIMM!$E:$O,10,FALSE)</f>
        <v>42.21</v>
      </c>
      <c r="G84" s="293"/>
      <c r="H84" s="293">
        <f t="shared" si="2"/>
        <v>0</v>
      </c>
      <c r="I84" s="103"/>
    </row>
    <row r="85" spans="1:9" s="266" customFormat="1" hidden="1" outlineLevel="1">
      <c r="A85" s="100">
        <v>0</v>
      </c>
      <c r="C85" s="266" t="s">
        <v>269</v>
      </c>
      <c r="D85" s="266" t="str">
        <f>VLOOKUP(C85,YIMM!$E:$F,2,FALSE)</f>
        <v>Rodigas MS207 wandbeugel met aluminium</v>
      </c>
      <c r="E85" s="266" t="str">
        <f>VLOOKUP(C85,YIMM!$E:$O,11,FALSE)</f>
        <v>ST</v>
      </c>
      <c r="F85" s="331">
        <f>VLOOKUP(C85,YIMM!$E:$O,10,FALSE)</f>
        <v>32.479999999999997</v>
      </c>
      <c r="G85" s="293"/>
      <c r="H85" s="293">
        <f t="shared" si="2"/>
        <v>0</v>
      </c>
      <c r="I85" s="103"/>
    </row>
    <row r="86" spans="1:9" s="266" customFormat="1" hidden="1" outlineLevel="1">
      <c r="A86" s="100">
        <v>0</v>
      </c>
      <c r="C86" s="266" t="s">
        <v>270</v>
      </c>
      <c r="D86" s="266" t="str">
        <f>VLOOKUP(C86,YIMM!$E:$F,2,FALSE)</f>
        <v>Trillingsdemper M12 30x40 VRF</v>
      </c>
      <c r="E86" s="266" t="str">
        <f>VLOOKUP(C86,YIMM!$E:$O,11,FALSE)</f>
        <v>ST</v>
      </c>
      <c r="F86" s="331">
        <f>VLOOKUP(C86,YIMM!$E:$O,10,FALSE)</f>
        <v>11.06</v>
      </c>
      <c r="G86" s="293"/>
      <c r="H86" s="293">
        <f t="shared" si="2"/>
        <v>0</v>
      </c>
      <c r="I86" s="103"/>
    </row>
    <row r="87" spans="1:9" s="266" customFormat="1" hidden="1" outlineLevel="1">
      <c r="A87" s="265">
        <f>(A84+A85)*4</f>
        <v>0</v>
      </c>
      <c r="C87" s="266" t="s">
        <v>271</v>
      </c>
      <c r="D87" s="266" t="str">
        <f>VLOOKUP(C87,YIMM!$E:$F,2,FALSE)</f>
        <v>Trillingsdempers Cilindrisch M8 40x30mm</v>
      </c>
      <c r="E87" s="266" t="str">
        <f>VLOOKUP(C87,YIMM!$E:$O,11,FALSE)</f>
        <v>ST</v>
      </c>
      <c r="F87" s="331">
        <f>VLOOKUP(C87,YIMM!$E:$O,10,FALSE)</f>
        <v>1.31</v>
      </c>
      <c r="G87" s="293"/>
      <c r="H87" s="293">
        <f t="shared" si="2"/>
        <v>0</v>
      </c>
      <c r="I87" s="103"/>
    </row>
    <row r="88" spans="1:9" s="266" customFormat="1" hidden="1" outlineLevel="1">
      <c r="A88" s="105">
        <v>0</v>
      </c>
      <c r="C88" s="283" t="s">
        <v>1777</v>
      </c>
      <c r="D88" s="100"/>
      <c r="E88" s="266" t="s">
        <v>293</v>
      </c>
      <c r="F88" s="102"/>
      <c r="G88" s="293"/>
      <c r="H88" s="293">
        <f t="shared" si="2"/>
        <v>0</v>
      </c>
      <c r="I88" s="103"/>
    </row>
    <row r="89" spans="1:9" s="266" customFormat="1" hidden="1" outlineLevel="1">
      <c r="A89" s="105">
        <v>0</v>
      </c>
      <c r="C89" s="283" t="s">
        <v>1777</v>
      </c>
      <c r="D89" s="100"/>
      <c r="E89" s="266" t="s">
        <v>293</v>
      </c>
      <c r="F89" s="102"/>
      <c r="G89" s="293"/>
      <c r="H89" s="293">
        <f t="shared" si="2"/>
        <v>0</v>
      </c>
      <c r="I89" s="103"/>
    </row>
    <row r="90" spans="1:9" s="266" customFormat="1" hidden="1" outlineLevel="1">
      <c r="A90" s="105">
        <v>0</v>
      </c>
      <c r="C90" s="283" t="s">
        <v>1777</v>
      </c>
      <c r="D90" s="100"/>
      <c r="E90" s="266" t="s">
        <v>293</v>
      </c>
      <c r="F90" s="102"/>
      <c r="G90" s="293"/>
      <c r="H90" s="293">
        <f t="shared" si="2"/>
        <v>0</v>
      </c>
      <c r="I90" s="103"/>
    </row>
    <row r="91" spans="1:9" s="266" customFormat="1" ht="18.75" collapsed="1" thickTop="1">
      <c r="F91" s="280"/>
      <c r="G91" s="289"/>
      <c r="H91" s="273"/>
      <c r="I91" s="295"/>
    </row>
    <row r="92" spans="1:9" s="266" customFormat="1" ht="18.75" thickBot="1">
      <c r="A92" s="296" t="s">
        <v>141</v>
      </c>
      <c r="B92" s="297"/>
      <c r="C92" s="297"/>
      <c r="D92" s="297"/>
      <c r="E92" s="297"/>
      <c r="F92" s="298"/>
      <c r="G92" s="299" t="s">
        <v>132</v>
      </c>
      <c r="H92" s="97">
        <f>SUM(H93:H134)</f>
        <v>0</v>
      </c>
      <c r="I92" s="259"/>
    </row>
    <row r="93" spans="1:9" s="266" customFormat="1" ht="18.75" hidden="1" outlineLevel="1" thickTop="1">
      <c r="A93" s="100">
        <v>0</v>
      </c>
      <c r="C93" s="300" t="s">
        <v>1777</v>
      </c>
      <c r="D93" s="301" t="s">
        <v>1729</v>
      </c>
      <c r="E93" s="110" t="s">
        <v>142</v>
      </c>
      <c r="F93" s="98">
        <f>VLOOKUP(D93,'Berek. harde koelleiding'!$A$49:$K$59,11,FALSE)</f>
        <v>23.32903703703704</v>
      </c>
      <c r="G93" s="302"/>
      <c r="H93" s="293">
        <f t="shared" ref="H93:H134" si="3">PRODUCT(A93,F93)</f>
        <v>0</v>
      </c>
      <c r="I93" s="103"/>
    </row>
    <row r="94" spans="1:9" s="266" customFormat="1" hidden="1" outlineLevel="1">
      <c r="A94" s="100">
        <v>0</v>
      </c>
      <c r="C94" s="300" t="s">
        <v>1777</v>
      </c>
      <c r="D94" s="301" t="s">
        <v>1730</v>
      </c>
      <c r="E94" s="110" t="s">
        <v>142</v>
      </c>
      <c r="F94" s="98">
        <f>VLOOKUP(D94,'Berek. harde koelleiding'!$A$49:$K$59,11,FALSE)</f>
        <v>26.015000000000001</v>
      </c>
      <c r="G94" s="302"/>
      <c r="H94" s="293">
        <f t="shared" si="3"/>
        <v>0</v>
      </c>
      <c r="I94" s="103"/>
    </row>
    <row r="95" spans="1:9" s="266" customFormat="1" hidden="1" outlineLevel="1">
      <c r="A95" s="100">
        <v>0</v>
      </c>
      <c r="C95" s="300" t="s">
        <v>1777</v>
      </c>
      <c r="D95" s="301" t="s">
        <v>1731</v>
      </c>
      <c r="E95" s="110" t="s">
        <v>142</v>
      </c>
      <c r="F95" s="98">
        <f>VLOOKUP(D95,'Berek. harde koelleiding'!$A$49:$K$59,11,FALSE)</f>
        <v>26.387875000000001</v>
      </c>
      <c r="G95" s="302"/>
      <c r="H95" s="293">
        <f t="shared" si="3"/>
        <v>0</v>
      </c>
      <c r="I95" s="103"/>
    </row>
    <row r="96" spans="1:9" s="266" customFormat="1" hidden="1" outlineLevel="1">
      <c r="A96" s="100">
        <v>0</v>
      </c>
      <c r="C96" s="300" t="s">
        <v>1777</v>
      </c>
      <c r="D96" s="301" t="s">
        <v>1736</v>
      </c>
      <c r="E96" s="110" t="s">
        <v>142</v>
      </c>
      <c r="F96" s="98">
        <f>VLOOKUP(D96,'Berek. harde koelleiding'!$A$49:$K$59,11,FALSE)</f>
        <v>28.181874999999998</v>
      </c>
      <c r="G96" s="302"/>
      <c r="H96" s="293">
        <f t="shared" si="3"/>
        <v>0</v>
      </c>
      <c r="I96" s="103"/>
    </row>
    <row r="97" spans="1:9" s="266" customFormat="1" hidden="1" outlineLevel="1">
      <c r="A97" s="100">
        <v>0</v>
      </c>
      <c r="C97" s="300" t="s">
        <v>1777</v>
      </c>
      <c r="D97" s="301" t="s">
        <v>1737</v>
      </c>
      <c r="E97" s="110" t="s">
        <v>142</v>
      </c>
      <c r="F97" s="98">
        <f>VLOOKUP(D97,'Berek. harde koelleiding'!$A$49:$K$59,11,FALSE)</f>
        <v>29.04</v>
      </c>
      <c r="G97" s="302"/>
      <c r="H97" s="293">
        <f t="shared" si="3"/>
        <v>0</v>
      </c>
      <c r="I97" s="103"/>
    </row>
    <row r="98" spans="1:9" s="266" customFormat="1" hidden="1" outlineLevel="1">
      <c r="A98" s="100">
        <v>0</v>
      </c>
      <c r="C98" s="300" t="s">
        <v>1777</v>
      </c>
      <c r="D98" s="301" t="s">
        <v>1732</v>
      </c>
      <c r="E98" s="110" t="s">
        <v>142</v>
      </c>
      <c r="F98" s="98">
        <f>VLOOKUP(D98,'Berek. harde koelleiding'!$A$49:$K$59,11,FALSE)</f>
        <v>35.364037037037036</v>
      </c>
      <c r="G98" s="302"/>
      <c r="H98" s="293">
        <f t="shared" si="3"/>
        <v>0</v>
      </c>
      <c r="I98" s="103"/>
    </row>
    <row r="99" spans="1:9" s="266" customFormat="1" hidden="1" outlineLevel="1">
      <c r="A99" s="100">
        <v>0</v>
      </c>
      <c r="C99" s="300" t="s">
        <v>1777</v>
      </c>
      <c r="D99" s="301" t="s">
        <v>1733</v>
      </c>
      <c r="E99" s="110" t="s">
        <v>142</v>
      </c>
      <c r="F99" s="98">
        <f>VLOOKUP(D99,'Berek. harde koelleiding'!$A$49:$K$59,11,FALSE)</f>
        <v>38.540037037037038</v>
      </c>
      <c r="G99" s="302"/>
      <c r="H99" s="293">
        <f t="shared" si="3"/>
        <v>0</v>
      </c>
      <c r="I99" s="103"/>
    </row>
    <row r="100" spans="1:9" s="266" customFormat="1" hidden="1" outlineLevel="1">
      <c r="A100" s="100">
        <v>0</v>
      </c>
      <c r="C100" s="300" t="s">
        <v>1777</v>
      </c>
      <c r="D100" s="301" t="s">
        <v>1734</v>
      </c>
      <c r="E100" s="110" t="s">
        <v>142</v>
      </c>
      <c r="F100" s="98">
        <f>VLOOKUP(D100,'Berek. harde koelleiding'!$A$49:$K$59,11,FALSE)</f>
        <v>40.706912037037043</v>
      </c>
      <c r="G100" s="302"/>
      <c r="H100" s="293">
        <f t="shared" si="3"/>
        <v>0</v>
      </c>
      <c r="I100" s="103"/>
    </row>
    <row r="101" spans="1:9" s="266" customFormat="1" hidden="1" outlineLevel="1">
      <c r="A101" s="100">
        <v>0</v>
      </c>
      <c r="C101" s="300" t="s">
        <v>1777</v>
      </c>
      <c r="D101" s="301" t="s">
        <v>1735</v>
      </c>
      <c r="E101" s="110" t="s">
        <v>142</v>
      </c>
      <c r="F101" s="98">
        <f>VLOOKUP(D101,'Berek. harde koelleiding'!$A$49:$K$59,11,FALSE)</f>
        <v>43.392875000000004</v>
      </c>
      <c r="G101" s="302"/>
      <c r="H101" s="293">
        <f t="shared" si="3"/>
        <v>0</v>
      </c>
      <c r="I101" s="103"/>
    </row>
    <row r="102" spans="1:9" s="266" customFormat="1" hidden="1" outlineLevel="1">
      <c r="A102" s="100">
        <v>0</v>
      </c>
      <c r="C102" s="301" t="s">
        <v>143</v>
      </c>
      <c r="D102" s="301" t="str">
        <f>VLOOKUP(C102,YIMM!$E:$F,2,FALSE)</f>
        <v>Aircopipe P2525 1/4 x 5/8</v>
      </c>
      <c r="E102" s="266" t="str">
        <f>VLOOKUP(C102,YIMM!$E:$O,11,FALSE)</f>
        <v>M</v>
      </c>
      <c r="F102" s="331">
        <f>VLOOKUP(C102,YIMM!$E:$O,10,FALSE)</f>
        <v>7.25</v>
      </c>
      <c r="G102" s="289"/>
      <c r="H102" s="293">
        <f t="shared" si="3"/>
        <v>0</v>
      </c>
      <c r="I102" s="103" t="s">
        <v>1664</v>
      </c>
    </row>
    <row r="103" spans="1:9" s="266" customFormat="1" hidden="1" outlineLevel="1">
      <c r="A103" s="100">
        <v>0</v>
      </c>
      <c r="C103" s="301" t="s">
        <v>144</v>
      </c>
      <c r="D103" s="301" t="str">
        <f>VLOOKUP(C103,YIMM!$E:$F,2,FALSE)</f>
        <v>Aircopipe PB2325 1/4 x 3/8 zwart</v>
      </c>
      <c r="E103" s="266" t="str">
        <f>VLOOKUP(C103,YIMM!$E:$O,11,FALSE)</f>
        <v>M</v>
      </c>
      <c r="F103" s="331">
        <f>VLOOKUP(C103,YIMM!$E:$O,10,FALSE)</f>
        <v>4.4800000000000004</v>
      </c>
      <c r="G103" s="289"/>
      <c r="H103" s="293">
        <f t="shared" si="3"/>
        <v>0</v>
      </c>
      <c r="I103" s="103" t="s">
        <v>1665</v>
      </c>
    </row>
    <row r="104" spans="1:9" s="266" customFormat="1" hidden="1" outlineLevel="1">
      <c r="A104" s="100">
        <v>0</v>
      </c>
      <c r="C104" s="301" t="s">
        <v>145</v>
      </c>
      <c r="D104" s="301" t="str">
        <f>VLOOKUP(C104,YIMM!$E:$F,2,FALSE)</f>
        <v>Aircopipe PB2425 1/4 x 1/2 zwart</v>
      </c>
      <c r="E104" s="266" t="str">
        <f>VLOOKUP(C104,YIMM!$E:$O,11,FALSE)</f>
        <v>M</v>
      </c>
      <c r="F104" s="331">
        <f>VLOOKUP(C104,YIMM!$E:$O,10,FALSE)</f>
        <v>5.77</v>
      </c>
      <c r="G104" s="289"/>
      <c r="H104" s="293">
        <f t="shared" si="3"/>
        <v>0</v>
      </c>
      <c r="I104" s="103" t="s">
        <v>1666</v>
      </c>
    </row>
    <row r="105" spans="1:9" s="266" customFormat="1" hidden="1" outlineLevel="1">
      <c r="A105" s="100">
        <v>0</v>
      </c>
      <c r="C105" s="301" t="s">
        <v>146</v>
      </c>
      <c r="D105" s="301" t="str">
        <f>VLOOKUP(C105,YIMM!$E:$F,2,FALSE)</f>
        <v>Aircopipe PB3525 3/8 x 5/8 zwart</v>
      </c>
      <c r="E105" s="266" t="str">
        <f>VLOOKUP(C105,YIMM!$E:$O,11,FALSE)</f>
        <v>M</v>
      </c>
      <c r="F105" s="331">
        <f>VLOOKUP(C105,YIMM!$E:$O,10,FALSE)</f>
        <v>8.16</v>
      </c>
      <c r="G105" s="289"/>
      <c r="H105" s="293">
        <f t="shared" si="3"/>
        <v>0</v>
      </c>
      <c r="I105" s="103" t="s">
        <v>1667</v>
      </c>
    </row>
    <row r="106" spans="1:9" s="266" customFormat="1" hidden="1" outlineLevel="1">
      <c r="A106" s="100">
        <v>0</v>
      </c>
      <c r="C106" s="300" t="s">
        <v>1777</v>
      </c>
      <c r="D106" s="301" t="s">
        <v>1778</v>
      </c>
      <c r="E106" s="110" t="s">
        <v>142</v>
      </c>
      <c r="F106" s="98">
        <f>344.4/25</f>
        <v>13.776</v>
      </c>
      <c r="G106" s="289"/>
      <c r="H106" s="293">
        <f t="shared" si="3"/>
        <v>0</v>
      </c>
      <c r="I106" s="103"/>
    </row>
    <row r="107" spans="1:9" s="266" customFormat="1" hidden="1" outlineLevel="1">
      <c r="A107" s="100">
        <v>0</v>
      </c>
      <c r="C107" s="300"/>
      <c r="D107" s="301" t="s">
        <v>2447</v>
      </c>
      <c r="E107" s="110" t="s">
        <v>142</v>
      </c>
      <c r="F107" s="98">
        <f>131.04/25+346.36/25</f>
        <v>19.096</v>
      </c>
      <c r="G107" s="289"/>
      <c r="H107" s="293">
        <f t="shared" si="3"/>
        <v>0</v>
      </c>
      <c r="I107" s="103"/>
    </row>
    <row r="108" spans="1:9" s="266" customFormat="1" hidden="1" outlineLevel="1">
      <c r="A108" s="100">
        <v>0</v>
      </c>
      <c r="C108" s="266" t="s">
        <v>148</v>
      </c>
      <c r="D108" s="266" t="str">
        <f>VLOOKUP(C108,YIMM!$E:$F,2,FALSE)</f>
        <v>Audio cable 1x2x1.23 mm 91002</v>
      </c>
      <c r="E108" s="266" t="str">
        <f>VLOOKUP(C108,YIMM!$E:$O,11,FALSE)</f>
        <v>M</v>
      </c>
      <c r="F108" s="331">
        <f>VLOOKUP(C108,YIMM!$E:$O,10,FALSE)</f>
        <v>1.4</v>
      </c>
      <c r="G108" s="289"/>
      <c r="H108" s="293">
        <f t="shared" si="3"/>
        <v>0</v>
      </c>
      <c r="I108" s="103" t="s">
        <v>2487</v>
      </c>
    </row>
    <row r="109" spans="1:9" s="266" customFormat="1" hidden="1" outlineLevel="1">
      <c r="A109" s="100">
        <v>0</v>
      </c>
      <c r="C109" s="266" t="s">
        <v>2477</v>
      </c>
      <c r="D109" s="266" t="str">
        <f>VLOOKUP(C109,YIMM!$E:$F,2,FALSE)</f>
        <v>Datakabel Cca 2x16AWG halogeenvrij grijs</v>
      </c>
      <c r="E109" s="266" t="str">
        <f>VLOOKUP(C109,YIMM!$E:$O,11,FALSE)</f>
        <v>M</v>
      </c>
      <c r="F109" s="331">
        <f>VLOOKUP(C109,YIMM!$E:$O,10,FALSE)</f>
        <v>2.12</v>
      </c>
      <c r="G109" s="289"/>
      <c r="H109" s="293">
        <f t="shared" ref="H109" si="4">PRODUCT(A109,F109)</f>
        <v>0</v>
      </c>
      <c r="I109" s="103" t="s">
        <v>2488</v>
      </c>
    </row>
    <row r="110" spans="1:9" s="266" customFormat="1" hidden="1" outlineLevel="1">
      <c r="A110" s="100">
        <v>0</v>
      </c>
      <c r="C110" s="266" t="s">
        <v>152</v>
      </c>
      <c r="D110" s="266" t="str">
        <f>VLOOKUP(C110,YIMM!$E:$F,2,FALSE)</f>
        <v>Doorz. PVC slang 6x10</v>
      </c>
      <c r="E110" s="266" t="str">
        <f>VLOOKUP(C110,YIMM!$E:$O,11,FALSE)</f>
        <v>M</v>
      </c>
      <c r="F110" s="331">
        <f>VLOOKUP(C110,YIMM!$E:$O,10,FALSE)</f>
        <v>0.47</v>
      </c>
      <c r="G110" s="289"/>
      <c r="H110" s="293">
        <f t="shared" si="3"/>
        <v>0</v>
      </c>
      <c r="I110" s="103"/>
    </row>
    <row r="111" spans="1:9" s="266" customFormat="1" hidden="1" outlineLevel="1">
      <c r="A111" s="100">
        <v>0</v>
      </c>
      <c r="C111" s="266" t="s">
        <v>153</v>
      </c>
      <c r="D111" s="266" t="str">
        <f>VLOOKUP(C111,YIMM!$E:$F,2,FALSE)</f>
        <v>Gewapende PVC slang 10X 16X 3.0 transp.</v>
      </c>
      <c r="E111" s="266" t="str">
        <f>VLOOKUP(C111,YIMM!$E:$O,11,FALSE)</f>
        <v>M</v>
      </c>
      <c r="F111" s="331">
        <f>VLOOKUP(C111,YIMM!$E:$O,10,FALSE)</f>
        <v>1.06</v>
      </c>
      <c r="G111" s="289"/>
      <c r="H111" s="293">
        <f t="shared" si="3"/>
        <v>0</v>
      </c>
      <c r="I111" s="103"/>
    </row>
    <row r="112" spans="1:9" s="266" customFormat="1" hidden="1" outlineLevel="1">
      <c r="A112" s="100">
        <v>0</v>
      </c>
      <c r="C112" s="266" t="s">
        <v>154</v>
      </c>
      <c r="D112" s="266" t="str">
        <f>VLOOKUP(C112,YIMM!$E:$F,2,FALSE)</f>
        <v>halogeenvrij CCA 2x0,75 kabel</v>
      </c>
      <c r="E112" s="266" t="str">
        <f>VLOOKUP(C112,YIMM!$E:$O,11,FALSE)</f>
        <v>M</v>
      </c>
      <c r="F112" s="331">
        <f>VLOOKUP(C112,YIMM!$E:$O,10,FALSE)</f>
        <v>0.56000000000000005</v>
      </c>
      <c r="G112" s="289"/>
      <c r="H112" s="293">
        <f t="shared" si="3"/>
        <v>0</v>
      </c>
      <c r="I112" s="103"/>
    </row>
    <row r="113" spans="1:9" s="266" customFormat="1" hidden="1" outlineLevel="1">
      <c r="A113" s="100">
        <v>0</v>
      </c>
      <c r="C113" s="266" t="s">
        <v>156</v>
      </c>
      <c r="D113" s="266" t="str">
        <f>VLOOKUP(C113,YIMM!$E:$F,2,FALSE)</f>
        <v>Huishoudkabel Eca Zwart - 3x1,50mm²</v>
      </c>
      <c r="E113" s="266" t="str">
        <f>VLOOKUP(C113,YIMM!$E:$O,11,FALSE)</f>
        <v>M</v>
      </c>
      <c r="F113" s="331">
        <f>VLOOKUP(C113,YIMM!$E:$O,10,FALSE)</f>
        <v>0.95</v>
      </c>
      <c r="G113" s="289"/>
      <c r="H113" s="293">
        <f t="shared" si="3"/>
        <v>0</v>
      </c>
      <c r="I113" s="103"/>
    </row>
    <row r="114" spans="1:9" s="266" customFormat="1" hidden="1" outlineLevel="1">
      <c r="A114" s="100">
        <v>0</v>
      </c>
      <c r="C114" s="266" t="s">
        <v>157</v>
      </c>
      <c r="D114" s="266" t="str">
        <f>VLOOKUP(C114,YIMM!$E:$F,2,FALSE)</f>
        <v>Stuurstroomkabel Cca 3x2,5 mm2</v>
      </c>
      <c r="E114" s="266" t="str">
        <f>VLOOKUP(C114,YIMM!$E:$O,11,FALSE)</f>
        <v>M</v>
      </c>
      <c r="F114" s="331">
        <f>VLOOKUP(C114,YIMM!$E:$O,10,FALSE)</f>
        <v>1.5</v>
      </c>
      <c r="G114" s="289"/>
      <c r="H114" s="293">
        <f t="shared" si="3"/>
        <v>0</v>
      </c>
      <c r="I114" s="103"/>
    </row>
    <row r="115" spans="1:9" s="266" customFormat="1" hidden="1" outlineLevel="1">
      <c r="A115" s="100">
        <v>0</v>
      </c>
      <c r="C115" s="266" t="s">
        <v>158</v>
      </c>
      <c r="D115" s="266" t="str">
        <f>VLOOKUP(C115,YIMM!$E:$F,2,FALSE)</f>
        <v>Stuurstroomkabel Cca 5x2,5 mm2</v>
      </c>
      <c r="E115" s="266" t="str">
        <f>VLOOKUP(C115,YIMM!$E:$O,11,FALSE)</f>
        <v>M</v>
      </c>
      <c r="F115" s="331">
        <f>VLOOKUP(C115,YIMM!$E:$O,10,FALSE)</f>
        <v>2.5099999999999998</v>
      </c>
      <c r="G115" s="289"/>
      <c r="H115" s="293">
        <f t="shared" si="3"/>
        <v>0</v>
      </c>
      <c r="I115" s="103"/>
    </row>
    <row r="116" spans="1:9" s="266" customFormat="1" hidden="1" outlineLevel="1">
      <c r="A116" s="100">
        <v>0</v>
      </c>
      <c r="C116" s="266" t="s">
        <v>159</v>
      </c>
      <c r="D116" s="266" t="str">
        <f>VLOOKUP(C116,YIMM!$E:$F,2,FALSE)</f>
        <v>Stuurstroomkabel grijs 5x1,0 mm2</v>
      </c>
      <c r="E116" s="266" t="str">
        <f>VLOOKUP(C116,YIMM!$E:$O,11,FALSE)</f>
        <v>M</v>
      </c>
      <c r="F116" s="331">
        <f>VLOOKUP(C116,YIMM!$E:$O,10,FALSE)</f>
        <v>1.27</v>
      </c>
      <c r="G116" s="289"/>
      <c r="H116" s="293">
        <f t="shared" si="3"/>
        <v>0</v>
      </c>
      <c r="I116" s="103"/>
    </row>
    <row r="117" spans="1:9" s="266" customFormat="1" hidden="1" outlineLevel="1">
      <c r="A117" s="100">
        <v>0</v>
      </c>
      <c r="C117" s="266" t="s">
        <v>160</v>
      </c>
      <c r="D117" s="266" t="str">
        <f>VLOOKUP(C117,YIMM!$E:$F,2,FALSE)</f>
        <v>Stuurstroomkabel LSOH Cca 4x1,5 mm2</v>
      </c>
      <c r="E117" s="266" t="str">
        <f>VLOOKUP(C117,YIMM!$E:$O,11,FALSE)</f>
        <v>M</v>
      </c>
      <c r="F117" s="331">
        <f>VLOOKUP(C117,YIMM!$E:$O,10,FALSE)</f>
        <v>1.36</v>
      </c>
      <c r="G117" s="289"/>
      <c r="H117" s="293">
        <f t="shared" si="3"/>
        <v>0</v>
      </c>
      <c r="I117" s="103"/>
    </row>
    <row r="118" spans="1:9" s="266" customFormat="1" hidden="1" outlineLevel="1">
      <c r="A118" s="100">
        <v>0</v>
      </c>
      <c r="C118" s="266" t="s">
        <v>161</v>
      </c>
      <c r="D118" s="266" t="str">
        <f>VLOOKUP(C118,YIMM!$E:$F,2,FALSE)</f>
        <v>Stuurstroomkabel YSLY-JZ 5x1,5</v>
      </c>
      <c r="E118" s="266" t="str">
        <f>VLOOKUP(C118,YIMM!$E:$O,11,FALSE)</f>
        <v>M</v>
      </c>
      <c r="F118" s="331">
        <f>VLOOKUP(C118,YIMM!$E:$O,10,FALSE)</f>
        <v>1.48</v>
      </c>
      <c r="G118" s="289"/>
      <c r="H118" s="293">
        <f t="shared" si="3"/>
        <v>0</v>
      </c>
      <c r="I118" s="103"/>
    </row>
    <row r="119" spans="1:9" s="266" customFormat="1" hidden="1" outlineLevel="1">
      <c r="A119" s="100">
        <v>0</v>
      </c>
      <c r="C119" s="266" t="s">
        <v>2482</v>
      </c>
      <c r="D119" s="266" t="str">
        <f>VLOOKUP(C119,YIMM!$E:$F,2,FALSE)</f>
        <v>Stuurstroomkabel CPR S1 D1 A1 4x1,5 mm2</v>
      </c>
      <c r="E119" s="266" t="str">
        <f>VLOOKUP(C119,YIMM!$E:$O,11,FALSE)</f>
        <v>M</v>
      </c>
      <c r="F119" s="331">
        <f>VLOOKUP(C119,YIMM!$E:$O,10,FALSE)</f>
        <v>1.6</v>
      </c>
      <c r="G119" s="289"/>
      <c r="H119" s="293">
        <f t="shared" ref="H119" si="5">PRODUCT(A119,F119)</f>
        <v>0</v>
      </c>
      <c r="I119" s="103"/>
    </row>
    <row r="120" spans="1:9" s="266" customFormat="1" hidden="1" outlineLevel="1">
      <c r="A120" s="100">
        <v>0</v>
      </c>
      <c r="C120" s="266" t="s">
        <v>162</v>
      </c>
      <c r="D120" s="266" t="str">
        <f>VLOOKUP(C120,YIMM!$E:$F,2,FALSE)</f>
        <v>Voedingskabel YMvK - Dca - 3x2,50mm²-50m</v>
      </c>
      <c r="E120" s="266" t="str">
        <f>VLOOKUP(C120,YIMM!$E:$O,11,FALSE)</f>
        <v>M</v>
      </c>
      <c r="F120" s="331">
        <f>VLOOKUP(C120,YIMM!$E:$O,10,FALSE)</f>
        <v>1.68</v>
      </c>
      <c r="G120" s="289"/>
      <c r="H120" s="293">
        <f t="shared" si="3"/>
        <v>0</v>
      </c>
      <c r="I120" s="103"/>
    </row>
    <row r="121" spans="1:9" s="266" customFormat="1" hidden="1" outlineLevel="1">
      <c r="A121" s="100">
        <v>0</v>
      </c>
      <c r="C121" s="266" t="s">
        <v>163</v>
      </c>
      <c r="D121" s="266" t="str">
        <f>VLOOKUP(C121,YIMM!$E:$F,2,FALSE)</f>
        <v>DRAK VULT DCA-S2 5G6 MT</v>
      </c>
      <c r="E121" s="266" t="str">
        <f>VLOOKUP(C121,YIMM!$E:$O,11,FALSE)</f>
        <v>M</v>
      </c>
      <c r="F121" s="331">
        <f>VLOOKUP(C121,YIMM!$E:$O,10,FALSE)</f>
        <v>7.31</v>
      </c>
      <c r="G121" s="289"/>
      <c r="H121" s="293">
        <f t="shared" si="3"/>
        <v>0</v>
      </c>
      <c r="I121" s="103"/>
    </row>
    <row r="122" spans="1:9" s="266" customFormat="1" hidden="1" outlineLevel="1">
      <c r="A122" s="100">
        <v>0</v>
      </c>
      <c r="C122" s="266" t="s">
        <v>164</v>
      </c>
      <c r="D122" s="266" t="str">
        <f>VLOOKUP(C122,YIMM!$E:$F,2,FALSE)</f>
        <v>Voedingskabel/1000 Dca 5G 2,5mm2 grijs</v>
      </c>
      <c r="E122" s="266" t="str">
        <f>VLOOKUP(C122,YIMM!$E:$O,11,FALSE)</f>
        <v>M</v>
      </c>
      <c r="F122" s="331">
        <f>VLOOKUP(C122,YIMM!$E:$O,10,FALSE)</f>
        <v>2.5099999999999998</v>
      </c>
      <c r="G122" s="289"/>
      <c r="H122" s="293">
        <f t="shared" si="3"/>
        <v>0</v>
      </c>
      <c r="I122" s="103"/>
    </row>
    <row r="123" spans="1:9" s="266" customFormat="1" hidden="1" outlineLevel="1">
      <c r="A123" s="100">
        <v>0</v>
      </c>
      <c r="C123" s="292" t="s">
        <v>1777</v>
      </c>
      <c r="D123" s="266" t="s">
        <v>165</v>
      </c>
      <c r="E123" s="110" t="s">
        <v>142</v>
      </c>
      <c r="F123" s="98">
        <f>'Berek. kabelgoot'!J44</f>
        <v>36.493333333333332</v>
      </c>
      <c r="G123" s="289"/>
      <c r="H123" s="293">
        <f t="shared" si="3"/>
        <v>0</v>
      </c>
      <c r="I123" s="103"/>
    </row>
    <row r="124" spans="1:9" s="266" customFormat="1" hidden="1" outlineLevel="1">
      <c r="A124" s="100">
        <v>0</v>
      </c>
      <c r="C124" s="292" t="s">
        <v>1777</v>
      </c>
      <c r="D124" s="266" t="s">
        <v>166</v>
      </c>
      <c r="E124" s="110" t="s">
        <v>142</v>
      </c>
      <c r="F124" s="98">
        <f>'Berek. condensafvoerleiding '!J44</f>
        <v>2.8291666666666666</v>
      </c>
      <c r="G124" s="289"/>
      <c r="H124" s="293">
        <f t="shared" si="3"/>
        <v>0</v>
      </c>
      <c r="I124" s="103"/>
    </row>
    <row r="125" spans="1:9" s="266" customFormat="1" hidden="1" outlineLevel="1">
      <c r="A125" s="100">
        <v>0</v>
      </c>
      <c r="C125" s="292" t="s">
        <v>1777</v>
      </c>
      <c r="D125" s="266" t="s">
        <v>1654</v>
      </c>
      <c r="E125" s="110" t="s">
        <v>142</v>
      </c>
      <c r="F125" s="98">
        <f>'Berek. PVC dakleidingen'!J44</f>
        <v>13.870000000000001</v>
      </c>
      <c r="G125" s="289"/>
      <c r="H125" s="293">
        <f t="shared" si="3"/>
        <v>0</v>
      </c>
      <c r="I125" s="103"/>
    </row>
    <row r="126" spans="1:9" s="266" customFormat="1" hidden="1" outlineLevel="1">
      <c r="A126" s="100">
        <v>0</v>
      </c>
      <c r="C126" s="266" t="s">
        <v>167</v>
      </c>
      <c r="D126" s="266" t="str">
        <f>VLOOKUP(C126,YIMM!$E:$F,2,FALSE)</f>
        <v>WaTech lijmsifon universeel 32mm</v>
      </c>
      <c r="E126" s="266" t="str">
        <f>VLOOKUP(C126,YIMM!$E:$O,11,FALSE)</f>
        <v>ST</v>
      </c>
      <c r="F126" s="331">
        <f>VLOOKUP(C126,YIMM!$E:$O,10,FALSE)</f>
        <v>3</v>
      </c>
      <c r="G126" s="293"/>
      <c r="H126" s="293">
        <f t="shared" si="3"/>
        <v>0</v>
      </c>
      <c r="I126" s="103"/>
    </row>
    <row r="127" spans="1:9" s="266" customFormat="1" hidden="1" outlineLevel="1">
      <c r="A127" s="100">
        <v>0</v>
      </c>
      <c r="C127" s="266" t="s">
        <v>168</v>
      </c>
      <c r="D127" s="266" t="str">
        <f>VLOOKUP(C127,YIMM!$E:$F,2,FALSE)</f>
        <v>WaTech lijmsifon universeel 40mm</v>
      </c>
      <c r="E127" s="266" t="str">
        <f>VLOOKUP(C127,YIMM!$E:$O,11,FALSE)</f>
        <v>ST</v>
      </c>
      <c r="F127" s="331">
        <f>VLOOKUP(C127,YIMM!$E:$O,10,FALSE)</f>
        <v>7.64</v>
      </c>
      <c r="G127" s="293"/>
      <c r="H127" s="293">
        <f t="shared" si="3"/>
        <v>0</v>
      </c>
      <c r="I127" s="103"/>
    </row>
    <row r="128" spans="1:9" s="266" customFormat="1" hidden="1" outlineLevel="1">
      <c r="A128" s="100">
        <v>0</v>
      </c>
      <c r="C128" s="266" t="s">
        <v>169</v>
      </c>
      <c r="D128" s="266" t="str">
        <f>VLOOKUP(C128,YIMM!$E:$F,2,FALSE)</f>
        <v>WaTech lijmsifon universeel 50mm</v>
      </c>
      <c r="E128" s="266" t="str">
        <f>VLOOKUP(C128,YIMM!$E:$O,11,FALSE)</f>
        <v>ST</v>
      </c>
      <c r="F128" s="331">
        <f>VLOOKUP(C128,YIMM!$E:$O,10,FALSE)</f>
        <v>15.41</v>
      </c>
      <c r="G128" s="293"/>
      <c r="H128" s="293">
        <f t="shared" si="3"/>
        <v>0</v>
      </c>
      <c r="I128" s="103"/>
    </row>
    <row r="129" spans="1:9" s="266" customFormat="1" hidden="1" outlineLevel="1">
      <c r="A129" s="100">
        <v>0</v>
      </c>
      <c r="C129" s="266" t="s">
        <v>251</v>
      </c>
      <c r="D129" s="266" t="str">
        <f>VLOOKUP(C129,YIMM!$E:$F,2,FALSE)</f>
        <v>Aansluitsnoer met stekker 3G1,5 mm²-W 3M</v>
      </c>
      <c r="E129" s="266" t="str">
        <f>VLOOKUP(C129,YIMM!$E:$O,11,FALSE)</f>
        <v>ST</v>
      </c>
      <c r="F129" s="331">
        <f>VLOOKUP(C129,YIMM!$E:$O,10,FALSE)</f>
        <v>6.18</v>
      </c>
      <c r="G129" s="293"/>
      <c r="H129" s="293">
        <f t="shared" si="3"/>
        <v>0</v>
      </c>
      <c r="I129" s="103"/>
    </row>
    <row r="130" spans="1:9" s="266" customFormat="1" hidden="1" outlineLevel="1">
      <c r="A130" s="100">
        <v>0</v>
      </c>
      <c r="C130" s="266" t="s">
        <v>252</v>
      </c>
      <c r="D130" s="266" t="str">
        <f>VLOOKUP(C130,YIMM!$E:$F,2,FALSE)</f>
        <v>Aansluitsnoer met stekker 3G1,5 mm²-Z 3M</v>
      </c>
      <c r="E130" s="266" t="str">
        <f>VLOOKUP(C130,YIMM!$E:$O,11,FALSE)</f>
        <v>ST</v>
      </c>
      <c r="F130" s="331">
        <f>VLOOKUP(C130,YIMM!$E:$O,10,FALSE)</f>
        <v>6.18</v>
      </c>
      <c r="G130" s="293"/>
      <c r="H130" s="293">
        <f t="shared" si="3"/>
        <v>0</v>
      </c>
      <c r="I130" s="103"/>
    </row>
    <row r="131" spans="1:9" s="266" customFormat="1" hidden="1" outlineLevel="1">
      <c r="A131" s="100">
        <v>0</v>
      </c>
      <c r="C131" s="266" t="s">
        <v>2479</v>
      </c>
      <c r="D131" s="266" t="str">
        <f>VLOOKUP(C131,YIMM!$E:$F,2,FALSE)</f>
        <v>Aansluitkabel VMvL Eca wit 3x1,50mm -100</v>
      </c>
      <c r="E131" s="266" t="str">
        <f>VLOOKUP(C131,YIMM!$E:$O,11,FALSE)</f>
        <v>M</v>
      </c>
      <c r="F131" s="331">
        <f>VLOOKUP(C131,YIMM!$E:$O,10,FALSE)</f>
        <v>0.95</v>
      </c>
      <c r="G131" s="293"/>
      <c r="H131" s="293">
        <f t="shared" ref="H131" si="6">PRODUCT(A131,F131)</f>
        <v>0</v>
      </c>
      <c r="I131" s="103"/>
    </row>
    <row r="132" spans="1:9" s="266" customFormat="1" hidden="1" outlineLevel="1">
      <c r="A132" s="105">
        <v>0</v>
      </c>
      <c r="C132" s="292" t="s">
        <v>1777</v>
      </c>
      <c r="D132" s="100"/>
      <c r="E132" s="266" t="s">
        <v>293</v>
      </c>
      <c r="F132" s="102"/>
      <c r="G132" s="293"/>
      <c r="H132" s="293">
        <f t="shared" si="3"/>
        <v>0</v>
      </c>
      <c r="I132" s="103"/>
    </row>
    <row r="133" spans="1:9" s="266" customFormat="1" hidden="1" outlineLevel="1">
      <c r="A133" s="105">
        <v>0</v>
      </c>
      <c r="C133" s="292" t="s">
        <v>1777</v>
      </c>
      <c r="D133" s="100"/>
      <c r="E133" s="266" t="s">
        <v>293</v>
      </c>
      <c r="F133" s="102"/>
      <c r="G133" s="293"/>
      <c r="H133" s="293">
        <f t="shared" si="3"/>
        <v>0</v>
      </c>
      <c r="I133" s="103"/>
    </row>
    <row r="134" spans="1:9" s="266" customFormat="1" hidden="1" outlineLevel="1">
      <c r="A134" s="105">
        <v>0</v>
      </c>
      <c r="C134" s="292" t="s">
        <v>1777</v>
      </c>
      <c r="D134" s="100"/>
      <c r="E134" s="266" t="s">
        <v>293</v>
      </c>
      <c r="F134" s="102"/>
      <c r="G134" s="293"/>
      <c r="H134" s="293">
        <f t="shared" si="3"/>
        <v>0</v>
      </c>
      <c r="I134" s="103"/>
    </row>
    <row r="135" spans="1:9" s="266" customFormat="1" ht="18.75" collapsed="1" thickTop="1">
      <c r="F135" s="280"/>
      <c r="G135" s="289"/>
      <c r="H135" s="273"/>
      <c r="I135" s="295"/>
    </row>
    <row r="136" spans="1:9" s="266" customFormat="1" ht="18.75" thickBot="1">
      <c r="A136" s="296" t="s">
        <v>170</v>
      </c>
      <c r="B136" s="297"/>
      <c r="C136" s="297"/>
      <c r="D136" s="297"/>
      <c r="E136" s="297"/>
      <c r="F136" s="298"/>
      <c r="G136" s="299" t="s">
        <v>132</v>
      </c>
      <c r="H136" s="97">
        <f>SUM(H137:H153)</f>
        <v>0</v>
      </c>
      <c r="I136" s="259"/>
    </row>
    <row r="137" spans="1:9" s="266" customFormat="1" ht="18.75" hidden="1" outlineLevel="1" thickTop="1">
      <c r="A137" s="100">
        <v>0</v>
      </c>
      <c r="C137" s="266" t="s">
        <v>171</v>
      </c>
      <c r="D137" s="266" t="str">
        <f>VLOOKUP(C137,YIMM!$E:$F,2,FALSE)</f>
        <v>Aspen Heavy-duty condenstankpomp 10m 4,0</v>
      </c>
      <c r="E137" s="266" t="str">
        <f>VLOOKUP(C137,YIMM!$E:$O,11,FALSE)</f>
        <v>ST</v>
      </c>
      <c r="F137" s="331">
        <f>VLOOKUP(C137,YIMM!$E:$O,10,FALSE)</f>
        <v>245.04</v>
      </c>
      <c r="G137" s="293"/>
      <c r="H137" s="293">
        <f t="shared" ref="H137:H153" si="7">PRODUCT(A137,F137)</f>
        <v>0</v>
      </c>
      <c r="I137" s="103"/>
    </row>
    <row r="138" spans="1:9" s="266" customFormat="1" hidden="1" outlineLevel="1">
      <c r="A138" s="100">
        <v>0</v>
      </c>
      <c r="C138" s="266" t="s">
        <v>172</v>
      </c>
      <c r="D138" s="266" t="str">
        <f>VLOOKUP(C138,YIMM!$E:$F,2,FALSE)</f>
        <v>Aspen pomp heavy duty 6m, 4,0l</v>
      </c>
      <c r="E138" s="266" t="str">
        <f>VLOOKUP(C138,YIMM!$E:$O,11,FALSE)</f>
        <v>ST</v>
      </c>
      <c r="F138" s="331">
        <f>VLOOKUP(C138,YIMM!$E:$O,10,FALSE)</f>
        <v>149.94999999999999</v>
      </c>
      <c r="G138" s="293"/>
      <c r="H138" s="293">
        <f t="shared" si="7"/>
        <v>0</v>
      </c>
      <c r="I138" s="103"/>
    </row>
    <row r="139" spans="1:9" s="266" customFormat="1" hidden="1" outlineLevel="1">
      <c r="A139" s="100">
        <v>0</v>
      </c>
      <c r="C139" s="266" t="s">
        <v>173</v>
      </c>
      <c r="D139" s="266" t="str">
        <f>VLOOKUP(C139,YIMM!$E:$F,2,FALSE)</f>
        <v>Aspen pomp Mini Aqua Silent+</v>
      </c>
      <c r="E139" s="266" t="str">
        <f>VLOOKUP(C139,YIMM!$E:$O,11,FALSE)</f>
        <v>ST</v>
      </c>
      <c r="F139" s="331">
        <f>VLOOKUP(C139,YIMM!$E:$O,10,FALSE)</f>
        <v>91.43</v>
      </c>
      <c r="G139" s="293"/>
      <c r="H139" s="293">
        <f t="shared" si="7"/>
        <v>0</v>
      </c>
      <c r="I139" s="103"/>
    </row>
    <row r="140" spans="1:9" s="266" customFormat="1" hidden="1" outlineLevel="1">
      <c r="A140" s="100">
        <v>0</v>
      </c>
      <c r="C140" s="266" t="s">
        <v>174</v>
      </c>
      <c r="D140" s="266" t="str">
        <f>VLOOKUP(C140,YIMM!$E:$F,2,FALSE)</f>
        <v>Aspen pomp Mini Lime Silent+ (losse pomp</v>
      </c>
      <c r="E140" s="266" t="str">
        <f>VLOOKUP(C140,YIMM!$E:$O,11,FALSE)</f>
        <v>ST</v>
      </c>
      <c r="F140" s="331">
        <f>VLOOKUP(C140,YIMM!$E:$O,10,FALSE)</f>
        <v>89.03</v>
      </c>
      <c r="G140" s="293"/>
      <c r="H140" s="293">
        <f t="shared" si="7"/>
        <v>0</v>
      </c>
      <c r="I140" s="103"/>
    </row>
    <row r="141" spans="1:9" s="266" customFormat="1" hidden="1" outlineLevel="1">
      <c r="A141" s="100">
        <v>0</v>
      </c>
      <c r="C141" s="266" t="s">
        <v>175</v>
      </c>
      <c r="D141" s="266" t="str">
        <f>VLOOKUP(C141,YIMM!$E:$F,2,FALSE)</f>
        <v>Aspen pomp Mini Lime Silent+Inoac goot</v>
      </c>
      <c r="E141" s="266" t="str">
        <f>VLOOKUP(C141,YIMM!$E:$O,11,FALSE)</f>
        <v>ST</v>
      </c>
      <c r="F141" s="331">
        <f>VLOOKUP(C141,YIMM!$E:$O,10,FALSE)</f>
        <v>101.66</v>
      </c>
      <c r="G141" s="293"/>
      <c r="H141" s="293">
        <f t="shared" si="7"/>
        <v>0</v>
      </c>
      <c r="I141" s="103"/>
    </row>
    <row r="142" spans="1:9" s="266" customFormat="1" hidden="1" outlineLevel="1">
      <c r="A142" s="100">
        <v>0</v>
      </c>
      <c r="C142" s="266" t="s">
        <v>176</v>
      </c>
      <c r="D142" s="266" t="str">
        <f>VLOOKUP(C142,YIMM!$E:$F,2,FALSE)</f>
        <v>Aspen pomp Mini Orange Silent+</v>
      </c>
      <c r="E142" s="266" t="str">
        <f>VLOOKUP(C142,YIMM!$E:$O,11,FALSE)</f>
        <v>ST</v>
      </c>
      <c r="F142" s="331">
        <f>VLOOKUP(C142,YIMM!$E:$O,10,FALSE)</f>
        <v>68</v>
      </c>
      <c r="G142" s="293"/>
      <c r="H142" s="293">
        <f t="shared" si="7"/>
        <v>0</v>
      </c>
      <c r="I142" s="103"/>
    </row>
    <row r="143" spans="1:9" s="266" customFormat="1" hidden="1" outlineLevel="1">
      <c r="A143" s="100">
        <v>0</v>
      </c>
      <c r="C143" s="266" t="s">
        <v>177</v>
      </c>
      <c r="D143" s="266" t="str">
        <f>VLOOKUP(C143,YIMM!$E:$F,2,FALSE)</f>
        <v>Aspen tankpomp MAX Hi-Flow 1,7L</v>
      </c>
      <c r="E143" s="266" t="str">
        <f>VLOOKUP(C143,YIMM!$E:$O,11,FALSE)</f>
        <v>ST</v>
      </c>
      <c r="F143" s="331">
        <f>VLOOKUP(C143,YIMM!$E:$O,10,FALSE)</f>
        <v>58.29</v>
      </c>
      <c r="G143" s="293"/>
      <c r="H143" s="293">
        <f t="shared" si="7"/>
        <v>0</v>
      </c>
      <c r="I143" s="103"/>
    </row>
    <row r="144" spans="1:9" s="266" customFormat="1" hidden="1" outlineLevel="1">
      <c r="A144" s="100">
        <v>0</v>
      </c>
      <c r="C144" s="266" t="s">
        <v>178</v>
      </c>
      <c r="D144" s="266" t="str">
        <f>VLOOKUP(C144,YIMM!$E:$F,2,FALSE)</f>
        <v>BlueDiamond MicroBlue pomp res. X85-001</v>
      </c>
      <c r="E144" s="266" t="str">
        <f>VLOOKUP(C144,YIMM!$E:$O,11,FALSE)</f>
        <v>ST</v>
      </c>
      <c r="F144" s="331">
        <f>VLOOKUP(C144,YIMM!$E:$O,10,FALSE)</f>
        <v>87.27</v>
      </c>
      <c r="G144" s="293"/>
      <c r="H144" s="293">
        <f t="shared" si="7"/>
        <v>0</v>
      </c>
      <c r="I144" s="103"/>
    </row>
    <row r="145" spans="1:9" s="266" customFormat="1" hidden="1" outlineLevel="1">
      <c r="A145" s="100">
        <v>0</v>
      </c>
      <c r="C145" s="266" t="s">
        <v>179</v>
      </c>
      <c r="D145" s="266" t="str">
        <f>VLOOKUP(C145,YIMM!$E:$F,2,FALSE)</f>
        <v>MaxiBlue pomp condenspomp met temp. sens</v>
      </c>
      <c r="E145" s="266" t="str">
        <f>VLOOKUP(C145,YIMM!$E:$O,11,FALSE)</f>
        <v>ST</v>
      </c>
      <c r="F145" s="331">
        <f>VLOOKUP(C145,YIMM!$E:$O,10,FALSE)</f>
        <v>134.93</v>
      </c>
      <c r="G145" s="293"/>
      <c r="H145" s="293">
        <f t="shared" si="7"/>
        <v>0</v>
      </c>
      <c r="I145" s="103"/>
    </row>
    <row r="146" spans="1:9" s="266" customFormat="1" hidden="1" outlineLevel="1">
      <c r="A146" s="100">
        <v>0</v>
      </c>
      <c r="C146" s="266" t="s">
        <v>180</v>
      </c>
      <c r="D146" s="266" t="str">
        <f>VLOOKUP(C146,YIMM!$E:$F,2,FALSE)</f>
        <v>Mega Blue pomp reservoir X87-813</v>
      </c>
      <c r="E146" s="266" t="str">
        <f>VLOOKUP(C146,YIMM!$E:$O,11,FALSE)</f>
        <v>ST</v>
      </c>
      <c r="F146" s="331">
        <f>VLOOKUP(C146,YIMM!$E:$O,10,FALSE)</f>
        <v>194.73</v>
      </c>
      <c r="G146" s="293"/>
      <c r="H146" s="293">
        <f t="shared" si="7"/>
        <v>0</v>
      </c>
      <c r="I146" s="103"/>
    </row>
    <row r="147" spans="1:9" s="266" customFormat="1" hidden="1" outlineLevel="1">
      <c r="A147" s="100">
        <v>0</v>
      </c>
      <c r="C147" s="266" t="s">
        <v>181</v>
      </c>
      <c r="D147" s="266" t="str">
        <f>VLOOKUP(C147,YIMM!$E:$F,2,FALSE)</f>
        <v>Mega Blue pomp sensor (temperatuur)</v>
      </c>
      <c r="E147" s="266" t="str">
        <f>VLOOKUP(C147,YIMM!$E:$O,11,FALSE)</f>
        <v>ST</v>
      </c>
      <c r="F147" s="331">
        <f>VLOOKUP(C147,YIMM!$E:$O,10,FALSE)</f>
        <v>165.35</v>
      </c>
      <c r="G147" s="293"/>
      <c r="H147" s="293">
        <f t="shared" si="7"/>
        <v>0</v>
      </c>
      <c r="I147" s="103"/>
    </row>
    <row r="148" spans="1:9" s="266" customFormat="1" hidden="1" outlineLevel="1">
      <c r="A148" s="100">
        <v>0</v>
      </c>
      <c r="C148" s="266" t="s">
        <v>182</v>
      </c>
      <c r="D148" s="266" t="str">
        <f>VLOOKUP(C148,YIMM!$E:$F,2,FALSE)</f>
        <v>MicroBlue pomp sensor (temp.) X85-005</v>
      </c>
      <c r="E148" s="266" t="str">
        <f>VLOOKUP(C148,YIMM!$E:$O,11,FALSE)</f>
        <v>ST</v>
      </c>
      <c r="F148" s="331">
        <f>VLOOKUP(C148,YIMM!$E:$O,10,FALSE)</f>
        <v>97.36</v>
      </c>
      <c r="G148" s="293"/>
      <c r="H148" s="293">
        <f t="shared" si="7"/>
        <v>0</v>
      </c>
      <c r="I148" s="103"/>
    </row>
    <row r="149" spans="1:9" s="266" customFormat="1" hidden="1" outlineLevel="1">
      <c r="A149" s="100">
        <v>0</v>
      </c>
      <c r="C149" s="266" t="s">
        <v>183</v>
      </c>
      <c r="D149" s="266" t="str">
        <f>VLOOKUP(C149,YIMM!$E:$F,2,FALSE)</f>
        <v>MiniBlue condenspomp+koelsign 8 l/u</v>
      </c>
      <c r="E149" s="266" t="str">
        <f>VLOOKUP(C149,YIMM!$E:$O,11,FALSE)</f>
        <v>ST</v>
      </c>
      <c r="F149" s="331">
        <f>VLOOKUP(C149,YIMM!$E:$O,10,FALSE)</f>
        <v>95.46</v>
      </c>
      <c r="G149" s="293"/>
      <c r="H149" s="293">
        <f t="shared" si="7"/>
        <v>0</v>
      </c>
      <c r="I149" s="103"/>
    </row>
    <row r="150" spans="1:9" s="266" customFormat="1" hidden="1" outlineLevel="1">
      <c r="A150" s="100">
        <v>0</v>
      </c>
      <c r="C150" s="266" t="s">
        <v>184</v>
      </c>
      <c r="D150" s="266" t="str">
        <f>VLOOKUP(C150,YIMM!$E:$F,2,FALSE)</f>
        <v>MiniBlue pomp sensor (temperatuur)</v>
      </c>
      <c r="E150" s="266" t="str">
        <f>VLOOKUP(C150,YIMM!$E:$O,11,FALSE)</f>
        <v>ST</v>
      </c>
      <c r="F150" s="331">
        <f>VLOOKUP(C150,YIMM!$E:$O,10,FALSE)</f>
        <v>98.18</v>
      </c>
      <c r="G150" s="293"/>
      <c r="H150" s="293">
        <f t="shared" si="7"/>
        <v>0</v>
      </c>
      <c r="I150" s="103"/>
    </row>
    <row r="151" spans="1:9" s="266" customFormat="1" hidden="1" outlineLevel="1">
      <c r="A151" s="105">
        <v>0</v>
      </c>
      <c r="C151" s="292" t="s">
        <v>1777</v>
      </c>
      <c r="D151" s="100"/>
      <c r="E151" s="266" t="s">
        <v>293</v>
      </c>
      <c r="F151" s="102"/>
      <c r="G151" s="293"/>
      <c r="H151" s="293">
        <f t="shared" si="7"/>
        <v>0</v>
      </c>
      <c r="I151" s="103"/>
    </row>
    <row r="152" spans="1:9" s="266" customFormat="1" hidden="1" outlineLevel="1">
      <c r="A152" s="105">
        <v>0</v>
      </c>
      <c r="C152" s="292" t="s">
        <v>1777</v>
      </c>
      <c r="D152" s="100"/>
      <c r="E152" s="266" t="s">
        <v>293</v>
      </c>
      <c r="F152" s="102"/>
      <c r="G152" s="293"/>
      <c r="H152" s="293">
        <f t="shared" si="7"/>
        <v>0</v>
      </c>
      <c r="I152" s="103"/>
    </row>
    <row r="153" spans="1:9" s="266" customFormat="1" hidden="1" outlineLevel="1">
      <c r="A153" s="105">
        <v>0</v>
      </c>
      <c r="C153" s="292" t="s">
        <v>1777</v>
      </c>
      <c r="D153" s="100"/>
      <c r="E153" s="266" t="s">
        <v>293</v>
      </c>
      <c r="F153" s="102"/>
      <c r="G153" s="293"/>
      <c r="H153" s="293">
        <f t="shared" si="7"/>
        <v>0</v>
      </c>
      <c r="I153" s="103"/>
    </row>
    <row r="154" spans="1:9" s="266" customFormat="1" ht="18.75" collapsed="1" thickTop="1">
      <c r="F154" s="293"/>
      <c r="G154" s="293"/>
      <c r="H154" s="293"/>
      <c r="I154" s="295"/>
    </row>
    <row r="155" spans="1:9" s="266" customFormat="1" ht="18.75" thickBot="1">
      <c r="A155" s="296" t="s">
        <v>185</v>
      </c>
      <c r="B155" s="297"/>
      <c r="C155" s="297"/>
      <c r="D155" s="297"/>
      <c r="E155" s="297"/>
      <c r="F155" s="298"/>
      <c r="G155" s="299" t="s">
        <v>132</v>
      </c>
      <c r="H155" s="97">
        <f>SUM(H156:H226)</f>
        <v>0</v>
      </c>
      <c r="I155" s="259"/>
    </row>
    <row r="156" spans="1:9" s="266" customFormat="1" ht="18.75" hidden="1" outlineLevel="1" thickTop="1">
      <c r="A156" s="100">
        <v>0</v>
      </c>
      <c r="C156" s="266" t="s">
        <v>150</v>
      </c>
      <c r="D156" s="266" t="str">
        <f>VLOOKUP(C156,YIMM!$E:$F,2,FALSE)</f>
        <v>Inoac Leidinggoot CD-75</v>
      </c>
      <c r="E156" s="266" t="str">
        <f>VLOOKUP(C156,YIMM!$E:$O,11,FALSE)</f>
        <v>M</v>
      </c>
      <c r="F156" s="331">
        <f>VLOOKUP(C156,YIMM!$E:$O,10,FALSE)</f>
        <v>4.92</v>
      </c>
      <c r="G156" s="293"/>
      <c r="H156" s="293">
        <f t="shared" ref="H156:H160" si="8">PRODUCT(A156,F156)</f>
        <v>0</v>
      </c>
      <c r="I156" s="103" t="s">
        <v>2263</v>
      </c>
    </row>
    <row r="157" spans="1:9" s="266" customFormat="1" hidden="1" outlineLevel="1">
      <c r="A157" s="100">
        <v>0</v>
      </c>
      <c r="C157" s="266" t="s">
        <v>265</v>
      </c>
      <c r="D157" s="266" t="str">
        <f>VLOOKUP(C157,YIMM!$E:$F,2,FALSE)</f>
        <v>Inoac Muur afdekkap NW-75</v>
      </c>
      <c r="E157" s="266" t="str">
        <f>VLOOKUP(C157,YIMM!$E:$O,11,FALSE)</f>
        <v>ST</v>
      </c>
      <c r="F157" s="331">
        <f>VLOOKUP(C157,YIMM!$E:$O,10,FALSE)</f>
        <v>4.3499999999999996</v>
      </c>
      <c r="G157" s="293"/>
      <c r="H157" s="293">
        <f t="shared" si="8"/>
        <v>0</v>
      </c>
      <c r="I157" s="103"/>
    </row>
    <row r="158" spans="1:9" s="266" customFormat="1" hidden="1" outlineLevel="1">
      <c r="A158" s="100">
        <v>0</v>
      </c>
      <c r="C158" s="266" t="s">
        <v>190</v>
      </c>
      <c r="D158" s="266" t="str">
        <f>VLOOKUP(C158,YIMM!$E:$F,2,FALSE)</f>
        <v>Inoac plafond/wand-eindstuk NA75</v>
      </c>
      <c r="E158" s="266" t="str">
        <f>VLOOKUP(C158,YIMM!$E:$O,11,FALSE)</f>
        <v>ST</v>
      </c>
      <c r="F158" s="331">
        <f>VLOOKUP(C158,YIMM!$E:$O,10,FALSE)</f>
        <v>3.77</v>
      </c>
      <c r="G158" s="293"/>
      <c r="H158" s="293">
        <f t="shared" si="8"/>
        <v>0</v>
      </c>
      <c r="I158" s="103"/>
    </row>
    <row r="159" spans="1:9" s="266" customFormat="1" hidden="1" outlineLevel="1">
      <c r="A159" s="100">
        <v>0</v>
      </c>
      <c r="C159" s="266" t="s">
        <v>192</v>
      </c>
      <c r="D159" s="266" t="str">
        <f>VLOOKUP(C159,YIMM!$E:$F,2,FALSE)</f>
        <v>Inoac plafond/wand-rozet NK75</v>
      </c>
      <c r="E159" s="266" t="str">
        <f>VLOOKUP(C159,YIMM!$E:$O,11,FALSE)</f>
        <v>ST</v>
      </c>
      <c r="F159" s="331">
        <f>VLOOKUP(C159,YIMM!$E:$O,10,FALSE)</f>
        <v>1.66</v>
      </c>
      <c r="G159" s="293"/>
      <c r="H159" s="293">
        <f t="shared" si="8"/>
        <v>0</v>
      </c>
      <c r="I159" s="103"/>
    </row>
    <row r="160" spans="1:9" s="266" customFormat="1" hidden="1" outlineLevel="1">
      <c r="A160" s="100">
        <v>0</v>
      </c>
      <c r="C160" s="266" t="s">
        <v>216</v>
      </c>
      <c r="D160" s="266" t="str">
        <f>VLOOKUP(C160,YIMM!$E:$F,2,FALSE)</f>
        <v>Inoac verbindingssok NS75</v>
      </c>
      <c r="E160" s="266" t="str">
        <f>VLOOKUP(C160,YIMM!$E:$O,11,FALSE)</f>
        <v>ST</v>
      </c>
      <c r="F160" s="331">
        <f>VLOOKUP(C160,YIMM!$E:$O,10,FALSE)</f>
        <v>1.43</v>
      </c>
      <c r="G160" s="293"/>
      <c r="H160" s="293">
        <f t="shared" si="8"/>
        <v>0</v>
      </c>
      <c r="I160" s="103"/>
    </row>
    <row r="161" spans="1:9" s="266" customFormat="1" hidden="1" outlineLevel="1">
      <c r="A161" s="100">
        <v>0</v>
      </c>
      <c r="C161" s="266" t="s">
        <v>262</v>
      </c>
      <c r="D161" s="266" t="str">
        <f>VLOOKUP(C161,YIMM!$E:$F,2,FALSE)</f>
        <v>Inoac Platte lange bocht 90° NE-75</v>
      </c>
      <c r="E161" s="266" t="str">
        <f>VLOOKUP(C161,YIMM!$E:$O,11,FALSE)</f>
        <v>ST</v>
      </c>
      <c r="F161" s="331">
        <f>VLOOKUP(C161,YIMM!$E:$O,10,FALSE)</f>
        <v>4.04</v>
      </c>
      <c r="G161" s="293"/>
      <c r="H161" s="293">
        <f t="shared" ref="H161:H188" si="9">PRODUCT(A161,F161)</f>
        <v>0</v>
      </c>
      <c r="I161" s="103"/>
    </row>
    <row r="162" spans="1:9" s="266" customFormat="1" hidden="1" outlineLevel="1">
      <c r="A162" s="100">
        <v>0</v>
      </c>
      <c r="C162" s="266" t="s">
        <v>198</v>
      </c>
      <c r="D162" s="266" t="str">
        <f>VLOOKUP(C162,YIMM!$E:$F,2,FALSE)</f>
        <v>Inoac platte korte bocht 90° NH75</v>
      </c>
      <c r="E162" s="266" t="str">
        <f>VLOOKUP(C162,YIMM!$E:$O,11,FALSE)</f>
        <v>ST</v>
      </c>
      <c r="F162" s="331">
        <f>VLOOKUP(C162,YIMM!$E:$O,10,FALSE)</f>
        <v>2.88</v>
      </c>
      <c r="G162" s="293"/>
      <c r="H162" s="293">
        <f t="shared" si="9"/>
        <v>0</v>
      </c>
      <c r="I162" s="103"/>
    </row>
    <row r="163" spans="1:9" s="266" customFormat="1" hidden="1" outlineLevel="1">
      <c r="A163" s="100">
        <v>0</v>
      </c>
      <c r="C163" s="266" t="s">
        <v>194</v>
      </c>
      <c r="D163" s="266" t="str">
        <f>VLOOKUP(C163,YIMM!$E:$F,2,FALSE)</f>
        <v>Inoac platte bocht 45° NM75</v>
      </c>
      <c r="E163" s="266" t="str">
        <f>VLOOKUP(C163,YIMM!$E:$O,11,FALSE)</f>
        <v>ST</v>
      </c>
      <c r="F163" s="331">
        <f>VLOOKUP(C163,YIMM!$E:$O,10,FALSE)</f>
        <v>2.77</v>
      </c>
      <c r="G163" s="293"/>
      <c r="H163" s="293">
        <f t="shared" si="9"/>
        <v>0</v>
      </c>
      <c r="I163" s="103"/>
    </row>
    <row r="164" spans="1:9" s="266" customFormat="1" hidden="1" outlineLevel="1">
      <c r="A164" s="100">
        <v>0</v>
      </c>
      <c r="C164" s="266" t="s">
        <v>200</v>
      </c>
      <c r="D164" s="266" t="str">
        <f>VLOOKUP(C164,YIMM!$E:$F,2,FALSE)</f>
        <v>Inoac st. korte buiten bocht 90° NL75</v>
      </c>
      <c r="E164" s="266" t="str">
        <f>VLOOKUP(C164,YIMM!$E:$O,11,FALSE)</f>
        <v>ST</v>
      </c>
      <c r="F164" s="331">
        <f>VLOOKUP(C164,YIMM!$E:$O,10,FALSE)</f>
        <v>3.33</v>
      </c>
      <c r="G164" s="293"/>
      <c r="H164" s="293">
        <f t="shared" si="9"/>
        <v>0</v>
      </c>
      <c r="I164" s="103"/>
    </row>
    <row r="165" spans="1:9" s="266" customFormat="1" hidden="1" outlineLevel="1">
      <c r="A165" s="100">
        <v>0</v>
      </c>
      <c r="C165" s="266" t="s">
        <v>206</v>
      </c>
      <c r="D165" s="266" t="str">
        <f>VLOOKUP(C165,YIMM!$E:$F,2,FALSE)</f>
        <v>Inoac stijgende buiten bocht 90° NC75</v>
      </c>
      <c r="E165" s="266" t="str">
        <f>VLOOKUP(C165,YIMM!$E:$O,11,FALSE)</f>
        <v>ST</v>
      </c>
      <c r="F165" s="331">
        <f>VLOOKUP(C165,YIMM!$E:$O,10,FALSE)</f>
        <v>3.77</v>
      </c>
      <c r="G165" s="293"/>
      <c r="H165" s="293">
        <f t="shared" si="9"/>
        <v>0</v>
      </c>
      <c r="I165" s="103"/>
    </row>
    <row r="166" spans="1:9" s="266" customFormat="1" hidden="1" outlineLevel="1">
      <c r="A166" s="100">
        <v>0</v>
      </c>
      <c r="C166" s="266" t="s">
        <v>203</v>
      </c>
      <c r="D166" s="266" t="str">
        <f>VLOOKUP(C166,YIMM!$E:$F,2,FALSE)</f>
        <v>Inoac stijgende bocht 45° NU75</v>
      </c>
      <c r="E166" s="266" t="str">
        <f>VLOOKUP(C166,YIMM!$E:$O,11,FALSE)</f>
        <v>ST</v>
      </c>
      <c r="F166" s="331">
        <f>VLOOKUP(C166,YIMM!$E:$O,10,FALSE)</f>
        <v>2.5299999999999998</v>
      </c>
      <c r="G166" s="293"/>
      <c r="H166" s="293">
        <f t="shared" si="9"/>
        <v>0</v>
      </c>
      <c r="I166" s="103"/>
    </row>
    <row r="167" spans="1:9" s="266" customFormat="1" hidden="1" outlineLevel="1">
      <c r="A167" s="100">
        <v>0</v>
      </c>
      <c r="C167" s="266" t="s">
        <v>209</v>
      </c>
      <c r="D167" s="266" t="str">
        <f>VLOOKUP(C167,YIMM!$E:$F,2,FALSE)</f>
        <v>Inoac stijgende S-buiten bocht NZK75</v>
      </c>
      <c r="E167" s="266" t="str">
        <f>VLOOKUP(C167,YIMM!$E:$O,11,FALSE)</f>
        <v>ST</v>
      </c>
      <c r="F167" s="331">
        <f>VLOOKUP(C167,YIMM!$E:$O,10,FALSE)</f>
        <v>6.86</v>
      </c>
      <c r="G167" s="293"/>
      <c r="H167" s="293">
        <f t="shared" si="9"/>
        <v>0</v>
      </c>
      <c r="I167" s="103"/>
    </row>
    <row r="168" spans="1:9" s="266" customFormat="1" hidden="1" outlineLevel="1">
      <c r="A168" s="100">
        <v>0</v>
      </c>
      <c r="C168" s="266" t="s">
        <v>219</v>
      </c>
      <c r="D168" s="266" t="str">
        <f>VLOOKUP(C168,YIMM!$E:$F,2,FALSE)</f>
        <v>Inoac verstelb. bocht hor./vert. NCX75</v>
      </c>
      <c r="E168" s="266" t="str">
        <f>VLOOKUP(C168,YIMM!$E:$O,11,FALSE)</f>
        <v>ST</v>
      </c>
      <c r="F168" s="331">
        <f>VLOOKUP(C168,YIMM!$E:$O,10,FALSE)</f>
        <v>5.32</v>
      </c>
      <c r="G168" s="293"/>
      <c r="H168" s="293">
        <f t="shared" si="9"/>
        <v>0</v>
      </c>
      <c r="I168" s="103"/>
    </row>
    <row r="169" spans="1:9" s="266" customFormat="1" hidden="1" outlineLevel="1">
      <c r="A169" s="100">
        <v>0</v>
      </c>
      <c r="C169" s="266" t="s">
        <v>223</v>
      </c>
      <c r="D169" s="266" t="str">
        <f>VLOOKUP(C169,YIMM!$E:$F,2,FALSE)</f>
        <v>Inoac verstelb. platte bocht 45-90° NX75</v>
      </c>
      <c r="E169" s="266" t="str">
        <f>VLOOKUP(C169,YIMM!$E:$O,11,FALSE)</f>
        <v>ST</v>
      </c>
      <c r="F169" s="331">
        <f>VLOOKUP(C169,YIMM!$E:$O,10,FALSE)</f>
        <v>3.77</v>
      </c>
      <c r="G169" s="293"/>
      <c r="H169" s="293">
        <f t="shared" si="9"/>
        <v>0</v>
      </c>
      <c r="I169" s="103"/>
    </row>
    <row r="170" spans="1:9" s="266" customFormat="1" hidden="1" outlineLevel="1">
      <c r="A170" s="100">
        <v>0</v>
      </c>
      <c r="C170" s="266" t="s">
        <v>224</v>
      </c>
      <c r="D170" s="266" t="str">
        <f>VLOOKUP(C170,YIMM!$E:$F,2,FALSE)</f>
        <v>Inoac verstelb. st. bocht 45-90° NZ75</v>
      </c>
      <c r="E170" s="266" t="str">
        <f>VLOOKUP(C170,YIMM!$E:$O,11,FALSE)</f>
        <v>ST</v>
      </c>
      <c r="F170" s="331">
        <f>VLOOKUP(C170,YIMM!$E:$O,10,FALSE)</f>
        <v>4.2</v>
      </c>
      <c r="G170" s="293"/>
      <c r="H170" s="293">
        <f t="shared" si="9"/>
        <v>0</v>
      </c>
      <c r="I170" s="103"/>
    </row>
    <row r="171" spans="1:9" s="266" customFormat="1" hidden="1" outlineLevel="1">
      <c r="A171" s="100">
        <v>0</v>
      </c>
      <c r="C171" s="266" t="s">
        <v>213</v>
      </c>
      <c r="D171" s="266" t="str">
        <f>VLOOKUP(C171,YIMM!$E:$F,2,FALSE)</f>
        <v>Inoac T-stuk incl. 2x verloop 60 NT75</v>
      </c>
      <c r="E171" s="266" t="str">
        <f>VLOOKUP(C171,YIMM!$E:$O,11,FALSE)</f>
        <v>ST</v>
      </c>
      <c r="F171" s="331">
        <f>VLOOKUP(C171,YIMM!$E:$O,10,FALSE)</f>
        <v>10.63</v>
      </c>
      <c r="G171" s="293"/>
      <c r="H171" s="293">
        <f t="shared" si="9"/>
        <v>0</v>
      </c>
      <c r="I171" s="103"/>
    </row>
    <row r="172" spans="1:9" s="266" customFormat="1" hidden="1" outlineLevel="1">
      <c r="A172" s="100"/>
      <c r="F172" s="331"/>
      <c r="G172" s="293"/>
      <c r="H172" s="293"/>
      <c r="I172" s="103"/>
    </row>
    <row r="173" spans="1:9" s="266" customFormat="1" hidden="1" outlineLevel="1">
      <c r="A173" s="100">
        <v>0</v>
      </c>
      <c r="C173" s="266" t="s">
        <v>151</v>
      </c>
      <c r="D173" s="266" t="str">
        <f>VLOOKUP(C173,YIMM!$E:$F,2,FALSE)</f>
        <v>Inoac CD-75W Leidinggoot wit</v>
      </c>
      <c r="E173" s="266" t="str">
        <f>VLOOKUP(C173,YIMM!$E:$O,11,FALSE)</f>
        <v>M</v>
      </c>
      <c r="F173" s="331">
        <f>VLOOKUP(C173,YIMM!$E:$O,10,FALSE)</f>
        <v>3.97</v>
      </c>
      <c r="G173" s="293"/>
      <c r="H173" s="293">
        <f t="shared" si="9"/>
        <v>0</v>
      </c>
      <c r="I173" s="103" t="s">
        <v>2263</v>
      </c>
    </row>
    <row r="174" spans="1:9" s="266" customFormat="1" hidden="1" outlineLevel="1">
      <c r="A174" s="100">
        <v>0</v>
      </c>
      <c r="C174" s="266" t="s">
        <v>266</v>
      </c>
      <c r="D174" s="266" t="str">
        <f>VLOOKUP(C174,YIMM!$E:$F,2,FALSE)</f>
        <v>Inoac Muur afdekkap wit NW-75W</v>
      </c>
      <c r="E174" s="266" t="str">
        <f>VLOOKUP(C174,YIMM!$E:$O,11,FALSE)</f>
        <v>ST</v>
      </c>
      <c r="F174" s="331">
        <f>VLOOKUP(C174,YIMM!$E:$O,10,FALSE)</f>
        <v>4.28</v>
      </c>
      <c r="G174" s="293"/>
      <c r="H174" s="293">
        <f t="shared" si="9"/>
        <v>0</v>
      </c>
      <c r="I174" s="103"/>
    </row>
    <row r="175" spans="1:9" s="266" customFormat="1" hidden="1" outlineLevel="1">
      <c r="A175" s="100">
        <v>0</v>
      </c>
      <c r="C175" s="266" t="s">
        <v>187</v>
      </c>
      <c r="D175" s="266" t="str">
        <f>VLOOKUP(C175,YIMM!$E:$F,2,FALSE)</f>
        <v>Inoac plafond/wand eindstuk NA75-W</v>
      </c>
      <c r="E175" s="266" t="str">
        <f>VLOOKUP(C175,YIMM!$E:$O,11,FALSE)</f>
        <v>ST</v>
      </c>
      <c r="F175" s="331">
        <f>VLOOKUP(C175,YIMM!$E:$O,10,FALSE)</f>
        <v>3.91</v>
      </c>
      <c r="G175" s="293"/>
      <c r="H175" s="293">
        <f t="shared" si="9"/>
        <v>0</v>
      </c>
      <c r="I175" s="103"/>
    </row>
    <row r="176" spans="1:9" s="266" customFormat="1" hidden="1" outlineLevel="1">
      <c r="A176" s="100">
        <v>0</v>
      </c>
      <c r="C176" s="266" t="s">
        <v>217</v>
      </c>
      <c r="D176" s="266" t="str">
        <f>VLOOKUP(C176,YIMM!$E:$F,2,FALSE)</f>
        <v>Inoac verbindingssok NS75-W</v>
      </c>
      <c r="E176" s="266" t="str">
        <f>VLOOKUP(C176,YIMM!$E:$O,11,FALSE)</f>
        <v>ST</v>
      </c>
      <c r="F176" s="331">
        <f>VLOOKUP(C176,YIMM!$E:$O,10,FALSE)</f>
        <v>1.54</v>
      </c>
      <c r="G176" s="293"/>
      <c r="H176" s="293">
        <f t="shared" si="9"/>
        <v>0</v>
      </c>
      <c r="I176" s="103"/>
    </row>
    <row r="177" spans="1:9" s="266" customFormat="1" hidden="1" outlineLevel="1">
      <c r="A177" s="100">
        <v>0</v>
      </c>
      <c r="C177" s="266" t="s">
        <v>263</v>
      </c>
      <c r="D177" s="266" t="str">
        <f>VLOOKUP(C177,YIMM!$E:$F,2,FALSE)</f>
        <v>Inoac Platte lange bocht 90° NE-75W</v>
      </c>
      <c r="E177" s="266" t="str">
        <f>VLOOKUP(C177,YIMM!$E:$O,11,FALSE)</f>
        <v>ST</v>
      </c>
      <c r="F177" s="331">
        <f>VLOOKUP(C177,YIMM!$E:$O,10,FALSE)</f>
        <v>4.42</v>
      </c>
      <c r="G177" s="293"/>
      <c r="H177" s="293">
        <f t="shared" si="9"/>
        <v>0</v>
      </c>
      <c r="I177" s="103"/>
    </row>
    <row r="178" spans="1:9" s="266" customFormat="1" hidden="1" outlineLevel="1">
      <c r="A178" s="100">
        <v>0</v>
      </c>
      <c r="C178" s="266" t="s">
        <v>199</v>
      </c>
      <c r="D178" s="266" t="str">
        <f>VLOOKUP(C178,YIMM!$E:$F,2,FALSE)</f>
        <v>Inoac platte korte bocht 90° NH75-W</v>
      </c>
      <c r="E178" s="266" t="str">
        <f>VLOOKUP(C178,YIMM!$E:$O,11,FALSE)</f>
        <v>ST</v>
      </c>
      <c r="F178" s="331">
        <f>VLOOKUP(C178,YIMM!$E:$O,10,FALSE)</f>
        <v>3.1</v>
      </c>
      <c r="G178" s="293"/>
      <c r="H178" s="293">
        <f t="shared" si="9"/>
        <v>0</v>
      </c>
      <c r="I178" s="103"/>
    </row>
    <row r="179" spans="1:9" s="266" customFormat="1" hidden="1" outlineLevel="1">
      <c r="A179" s="100">
        <v>0</v>
      </c>
      <c r="C179" s="266" t="s">
        <v>195</v>
      </c>
      <c r="D179" s="266" t="str">
        <f>VLOOKUP(C179,YIMM!$E:$F,2,FALSE)</f>
        <v>Inoac platte bocht 45° NM75-W</v>
      </c>
      <c r="E179" s="266" t="str">
        <f>VLOOKUP(C179,YIMM!$E:$O,11,FALSE)</f>
        <v>ST</v>
      </c>
      <c r="F179" s="331">
        <f>VLOOKUP(C179,YIMM!$E:$O,10,FALSE)</f>
        <v>2.99</v>
      </c>
      <c r="G179" s="293"/>
      <c r="H179" s="293">
        <f t="shared" si="9"/>
        <v>0</v>
      </c>
      <c r="I179" s="103"/>
    </row>
    <row r="180" spans="1:9" s="266" customFormat="1" hidden="1" outlineLevel="1">
      <c r="A180" s="100">
        <v>0</v>
      </c>
      <c r="C180" s="266" t="s">
        <v>207</v>
      </c>
      <c r="D180" s="266" t="str">
        <f>VLOOKUP(C180,YIMM!$E:$F,2,FALSE)</f>
        <v>Inoac stijgende buiten bocht 90° NC75-W</v>
      </c>
      <c r="E180" s="266" t="str">
        <f>VLOOKUP(C180,YIMM!$E:$O,11,FALSE)</f>
        <v>ST</v>
      </c>
      <c r="F180" s="331">
        <f>VLOOKUP(C180,YIMM!$E:$O,10,FALSE)</f>
        <v>4.05</v>
      </c>
      <c r="G180" s="293"/>
      <c r="H180" s="293">
        <f t="shared" si="9"/>
        <v>0</v>
      </c>
      <c r="I180" s="103"/>
    </row>
    <row r="181" spans="1:9" s="266" customFormat="1" hidden="1" outlineLevel="1">
      <c r="A181" s="100">
        <v>0</v>
      </c>
      <c r="C181" s="266" t="s">
        <v>210</v>
      </c>
      <c r="D181" s="266" t="str">
        <f>VLOOKUP(C181,YIMM!$E:$F,2,FALSE)</f>
        <v>Inoac stijgende S-buiten bocht NZK75-W</v>
      </c>
      <c r="E181" s="266" t="str">
        <f>VLOOKUP(C181,YIMM!$E:$O,11,FALSE)</f>
        <v>ST</v>
      </c>
      <c r="F181" s="331">
        <f>VLOOKUP(C181,YIMM!$E:$O,10,FALSE)</f>
        <v>7.4</v>
      </c>
      <c r="G181" s="293"/>
      <c r="H181" s="293">
        <f t="shared" si="9"/>
        <v>0</v>
      </c>
      <c r="I181" s="103"/>
    </row>
    <row r="182" spans="1:9" s="266" customFormat="1" hidden="1" outlineLevel="1">
      <c r="A182" s="100">
        <v>0</v>
      </c>
      <c r="C182" s="266" t="s">
        <v>220</v>
      </c>
      <c r="D182" s="266" t="str">
        <f>VLOOKUP(C182,YIMM!$E:$F,2,FALSE)</f>
        <v>Inoac verstelb. bocht hor./vert. NCX75-W</v>
      </c>
      <c r="E182" s="266" t="str">
        <f>VLOOKUP(C182,YIMM!$E:$O,11,FALSE)</f>
        <v>ST</v>
      </c>
      <c r="F182" s="331">
        <f>VLOOKUP(C182,YIMM!$E:$O,10,FALSE)</f>
        <v>5.32</v>
      </c>
      <c r="G182" s="293"/>
      <c r="H182" s="293">
        <f t="shared" si="9"/>
        <v>0</v>
      </c>
      <c r="I182" s="103"/>
    </row>
    <row r="183" spans="1:9" s="266" customFormat="1" hidden="1" outlineLevel="1">
      <c r="A183" s="100">
        <v>0</v>
      </c>
      <c r="C183" s="266" t="s">
        <v>222</v>
      </c>
      <c r="D183" s="266" t="str">
        <f>VLOOKUP(C183,YIMM!$E:$F,2,FALSE)</f>
        <v>Inoac verstelb. pl. bocht 45-90° NX75-W</v>
      </c>
      <c r="E183" s="266" t="str">
        <f>VLOOKUP(C183,YIMM!$E:$O,11,FALSE)</f>
        <v>ST</v>
      </c>
      <c r="F183" s="331">
        <f>VLOOKUP(C183,YIMM!$E:$O,10,FALSE)</f>
        <v>4.05</v>
      </c>
      <c r="G183" s="293"/>
      <c r="H183" s="293">
        <f t="shared" si="9"/>
        <v>0</v>
      </c>
      <c r="I183" s="103"/>
    </row>
    <row r="184" spans="1:9" s="266" customFormat="1" hidden="1" outlineLevel="1">
      <c r="A184" s="100">
        <v>0</v>
      </c>
      <c r="C184" s="266" t="s">
        <v>225</v>
      </c>
      <c r="D184" s="266" t="str">
        <f>VLOOKUP(C184,YIMM!$E:$F,2,FALSE)</f>
        <v>Inoac verstelb. st. bocht 45-90° NZ75W</v>
      </c>
      <c r="E184" s="266" t="str">
        <f>VLOOKUP(C184,YIMM!$E:$O,11,FALSE)</f>
        <v>ST</v>
      </c>
      <c r="F184" s="331">
        <f>VLOOKUP(C184,YIMM!$E:$O,10,FALSE)</f>
        <v>4.2</v>
      </c>
      <c r="G184" s="293"/>
      <c r="H184" s="293">
        <f t="shared" si="9"/>
        <v>0</v>
      </c>
      <c r="I184" s="103"/>
    </row>
    <row r="185" spans="1:9" s="266" customFormat="1" hidden="1" outlineLevel="1">
      <c r="A185" s="100">
        <v>0</v>
      </c>
      <c r="C185" s="266" t="s">
        <v>211</v>
      </c>
      <c r="D185" s="266" t="str">
        <f>VLOOKUP(C185,YIMM!$E:$F,2,FALSE)</f>
        <v>Inoac T-stuk incl. 2 x verloop 60 NT75-W</v>
      </c>
      <c r="E185" s="266" t="str">
        <f>VLOOKUP(C185,YIMM!$E:$O,11,FALSE)</f>
        <v>ST</v>
      </c>
      <c r="F185" s="331">
        <f>VLOOKUP(C185,YIMM!$E:$O,10,FALSE)</f>
        <v>11.45</v>
      </c>
      <c r="G185" s="293"/>
      <c r="H185" s="293">
        <f t="shared" si="9"/>
        <v>0</v>
      </c>
      <c r="I185" s="103"/>
    </row>
    <row r="186" spans="1:9" s="266" customFormat="1" hidden="1" outlineLevel="1">
      <c r="A186" s="100"/>
      <c r="F186" s="331"/>
      <c r="G186" s="293"/>
      <c r="H186" s="293"/>
      <c r="I186" s="103"/>
    </row>
    <row r="187" spans="1:9" s="266" customFormat="1" hidden="1" outlineLevel="1">
      <c r="A187" s="100">
        <v>0</v>
      </c>
      <c r="C187" s="266" t="s">
        <v>149</v>
      </c>
      <c r="D187" s="266" t="str">
        <f>VLOOKUP(C187,YIMM!$E:$F,2,FALSE)</f>
        <v>Inoac Leidinggoot CD-100</v>
      </c>
      <c r="E187" s="266" t="str">
        <f>VLOOKUP(C187,YIMM!$E:$O,11,FALSE)</f>
        <v>M</v>
      </c>
      <c r="F187" s="331">
        <f>VLOOKUP(C187,YIMM!$E:$O,10,FALSE)</f>
        <v>7.5</v>
      </c>
      <c r="G187" s="293"/>
      <c r="H187" s="293">
        <f t="shared" si="9"/>
        <v>0</v>
      </c>
      <c r="I187" s="103" t="s">
        <v>2263</v>
      </c>
    </row>
    <row r="188" spans="1:9" s="266" customFormat="1" hidden="1" outlineLevel="1">
      <c r="A188" s="100">
        <v>0</v>
      </c>
      <c r="C188" s="266" t="s">
        <v>264</v>
      </c>
      <c r="D188" s="266" t="str">
        <f>VLOOKUP(C188,YIMM!$E:$F,2,FALSE)</f>
        <v>Inoac Muur afdekkap NW-100</v>
      </c>
      <c r="E188" s="266" t="str">
        <f>VLOOKUP(C188,YIMM!$E:$O,11,FALSE)</f>
        <v>ST</v>
      </c>
      <c r="F188" s="331">
        <f>VLOOKUP(C188,YIMM!$E:$O,10,FALSE)</f>
        <v>7.43</v>
      </c>
      <c r="G188" s="293"/>
      <c r="H188" s="293">
        <f t="shared" si="9"/>
        <v>0</v>
      </c>
      <c r="I188" s="103"/>
    </row>
    <row r="189" spans="1:9" s="266" customFormat="1" hidden="1" outlineLevel="1">
      <c r="A189" s="100">
        <v>0</v>
      </c>
      <c r="C189" s="266" t="s">
        <v>188</v>
      </c>
      <c r="D189" s="266" t="str">
        <f>VLOOKUP(C189,YIMM!$E:$F,2,FALSE)</f>
        <v>Inoac plafond/wand-eindstuk NA100</v>
      </c>
      <c r="E189" s="266" t="str">
        <f>VLOOKUP(C189,YIMM!$E:$O,11,FALSE)</f>
        <v>ST</v>
      </c>
      <c r="F189" s="331">
        <f>VLOOKUP(C189,YIMM!$E:$O,10,FALSE)</f>
        <v>4.87</v>
      </c>
      <c r="G189" s="293"/>
      <c r="H189" s="293">
        <f t="shared" ref="H189:H226" si="10">PRODUCT(A189,F189)</f>
        <v>0</v>
      </c>
      <c r="I189" s="103"/>
    </row>
    <row r="190" spans="1:9" s="266" customFormat="1" hidden="1" outlineLevel="1">
      <c r="A190" s="100">
        <v>0</v>
      </c>
      <c r="C190" s="266" t="s">
        <v>214</v>
      </c>
      <c r="D190" s="266" t="str">
        <f>VLOOKUP(C190,YIMM!$E:$F,2,FALSE)</f>
        <v>Inoac verbindingssok NS100</v>
      </c>
      <c r="E190" s="266" t="str">
        <f>VLOOKUP(C190,YIMM!$E:$O,11,FALSE)</f>
        <v>ST</v>
      </c>
      <c r="F190" s="331">
        <f>VLOOKUP(C190,YIMM!$E:$O,10,FALSE)</f>
        <v>2.97</v>
      </c>
      <c r="G190" s="293"/>
      <c r="H190" s="293">
        <f t="shared" si="10"/>
        <v>0</v>
      </c>
      <c r="I190" s="103"/>
    </row>
    <row r="191" spans="1:9" s="266" customFormat="1" hidden="1" outlineLevel="1">
      <c r="A191" s="100">
        <v>0</v>
      </c>
      <c r="C191" s="266" t="s">
        <v>261</v>
      </c>
      <c r="D191" s="266" t="str">
        <f>VLOOKUP(C191,YIMM!$E:$F,2,FALSE)</f>
        <v>Inoac Platte lange bocht 90° NE-100</v>
      </c>
      <c r="E191" s="266" t="str">
        <f>VLOOKUP(C191,YIMM!$E:$O,11,FALSE)</f>
        <v>ST</v>
      </c>
      <c r="F191" s="331">
        <f>VLOOKUP(C191,YIMM!$E:$O,10,FALSE)</f>
        <v>6.86</v>
      </c>
      <c r="G191" s="293"/>
      <c r="H191" s="293">
        <f t="shared" si="10"/>
        <v>0</v>
      </c>
      <c r="I191" s="103"/>
    </row>
    <row r="192" spans="1:9" s="266" customFormat="1" hidden="1" outlineLevel="1">
      <c r="A192" s="100">
        <v>0</v>
      </c>
      <c r="C192" s="266" t="s">
        <v>197</v>
      </c>
      <c r="D192" s="266" t="str">
        <f>VLOOKUP(C192,YIMM!$E:$F,2,FALSE)</f>
        <v>Inoac platte korte bocht 90° NH100</v>
      </c>
      <c r="E192" s="266" t="str">
        <f>VLOOKUP(C192,YIMM!$E:$O,11,FALSE)</f>
        <v>ST</v>
      </c>
      <c r="F192" s="331">
        <f>VLOOKUP(C192,YIMM!$E:$O,10,FALSE)</f>
        <v>4.6500000000000004</v>
      </c>
      <c r="G192" s="293"/>
      <c r="H192" s="293">
        <f t="shared" si="10"/>
        <v>0</v>
      </c>
      <c r="I192" s="103"/>
    </row>
    <row r="193" spans="1:9" s="266" customFormat="1" hidden="1" outlineLevel="1">
      <c r="A193" s="100">
        <v>0</v>
      </c>
      <c r="C193" s="266" t="s">
        <v>193</v>
      </c>
      <c r="D193" s="266" t="str">
        <f>VLOOKUP(C193,YIMM!$E:$F,2,FALSE)</f>
        <v>Inoac platte bocht 45° NM100</v>
      </c>
      <c r="E193" s="266" t="str">
        <f>VLOOKUP(C193,YIMM!$E:$O,11,FALSE)</f>
        <v>ST</v>
      </c>
      <c r="F193" s="331">
        <f>VLOOKUP(C193,YIMM!$E:$O,10,FALSE)</f>
        <v>4.76</v>
      </c>
      <c r="G193" s="293"/>
      <c r="H193" s="293">
        <f t="shared" si="10"/>
        <v>0</v>
      </c>
      <c r="I193" s="103"/>
    </row>
    <row r="194" spans="1:9" s="266" customFormat="1" hidden="1" outlineLevel="1">
      <c r="A194" s="100">
        <v>0</v>
      </c>
      <c r="C194" s="266" t="s">
        <v>208</v>
      </c>
      <c r="D194" s="266" t="str">
        <f>VLOOKUP(C194,YIMM!$E:$F,2,FALSE)</f>
        <v>Inoac stijgende korte bocht 90° NL100</v>
      </c>
      <c r="E194" s="266" t="str">
        <f>VLOOKUP(C194,YIMM!$E:$O,11,FALSE)</f>
        <v>ST</v>
      </c>
      <c r="F194" s="331">
        <f>VLOOKUP(C194,YIMM!$E:$O,10,FALSE)</f>
        <v>4.6100000000000003</v>
      </c>
      <c r="G194" s="293"/>
      <c r="H194" s="293">
        <f t="shared" si="10"/>
        <v>0</v>
      </c>
      <c r="I194" s="103"/>
    </row>
    <row r="195" spans="1:9" s="266" customFormat="1" hidden="1" outlineLevel="1">
      <c r="A195" s="100">
        <v>0</v>
      </c>
      <c r="C195" s="266" t="s">
        <v>204</v>
      </c>
      <c r="D195" s="266" t="str">
        <f>VLOOKUP(C195,YIMM!$E:$F,2,FALSE)</f>
        <v>Inoac stijgende buiten bocht 90° NC100</v>
      </c>
      <c r="E195" s="266" t="str">
        <f>VLOOKUP(C195,YIMM!$E:$O,11,FALSE)</f>
        <v>ST</v>
      </c>
      <c r="F195" s="331">
        <f>VLOOKUP(C195,YIMM!$E:$O,10,FALSE)</f>
        <v>6.43</v>
      </c>
      <c r="G195" s="293"/>
      <c r="H195" s="293">
        <f t="shared" si="10"/>
        <v>0</v>
      </c>
      <c r="I195" s="103"/>
    </row>
    <row r="196" spans="1:9" s="266" customFormat="1" hidden="1" outlineLevel="1">
      <c r="A196" s="100">
        <v>0</v>
      </c>
      <c r="C196" s="266" t="s">
        <v>202</v>
      </c>
      <c r="D196" s="266" t="str">
        <f>VLOOKUP(C196,YIMM!$E:$F,2,FALSE)</f>
        <v>Inoac stijgende bocht 45° NU100</v>
      </c>
      <c r="E196" s="266" t="str">
        <f>VLOOKUP(C196,YIMM!$E:$O,11,FALSE)</f>
        <v>ST</v>
      </c>
      <c r="F196" s="331">
        <f>VLOOKUP(C196,YIMM!$E:$O,10,FALSE)</f>
        <v>3.55</v>
      </c>
      <c r="G196" s="293"/>
      <c r="H196" s="293">
        <f t="shared" si="10"/>
        <v>0</v>
      </c>
      <c r="I196" s="103"/>
    </row>
    <row r="197" spans="1:9" s="266" customFormat="1" hidden="1" outlineLevel="1">
      <c r="A197" s="100">
        <v>0</v>
      </c>
      <c r="C197" s="266" t="s">
        <v>218</v>
      </c>
      <c r="D197" s="266" t="str">
        <f>VLOOKUP(C197,YIMM!$E:$F,2,FALSE)</f>
        <v>Inoac verstelb. bocht hor./vert. NCX100</v>
      </c>
      <c r="E197" s="266" t="str">
        <f>VLOOKUP(C197,YIMM!$E:$O,11,FALSE)</f>
        <v>ST</v>
      </c>
      <c r="F197" s="331">
        <f>VLOOKUP(C197,YIMM!$E:$O,10,FALSE)</f>
        <v>6.86</v>
      </c>
      <c r="G197" s="293"/>
      <c r="H197" s="293">
        <f t="shared" si="10"/>
        <v>0</v>
      </c>
      <c r="I197" s="103"/>
    </row>
    <row r="198" spans="1:9" s="266" customFormat="1" hidden="1" outlineLevel="1">
      <c r="A198" s="100">
        <v>0</v>
      </c>
      <c r="C198" s="266" t="s">
        <v>221</v>
      </c>
      <c r="D198" s="266" t="str">
        <f>VLOOKUP(C198,YIMM!$E:$F,2,FALSE)</f>
        <v>Inoac verstelb. pl. bocht 45-90° NX100</v>
      </c>
      <c r="E198" s="266" t="str">
        <f>VLOOKUP(C198,YIMM!$E:$O,11,FALSE)</f>
        <v>ST</v>
      </c>
      <c r="F198" s="331">
        <f>VLOOKUP(C198,YIMM!$E:$O,10,FALSE)</f>
        <v>7.19</v>
      </c>
      <c r="G198" s="293"/>
      <c r="H198" s="293">
        <f t="shared" si="10"/>
        <v>0</v>
      </c>
      <c r="I198" s="103"/>
    </row>
    <row r="199" spans="1:9" s="266" customFormat="1" hidden="1" outlineLevel="1">
      <c r="A199" s="100"/>
      <c r="F199" s="331"/>
      <c r="G199" s="293"/>
      <c r="H199" s="293"/>
      <c r="I199" s="103"/>
    </row>
    <row r="200" spans="1:9" s="266" customFormat="1" hidden="1" outlineLevel="1">
      <c r="A200" s="100">
        <v>0</v>
      </c>
      <c r="C200" s="266" t="s">
        <v>1840</v>
      </c>
      <c r="D200" s="266" t="str">
        <f>VLOOKUP(C200,YIMM!$E:$F,2,FALSE)</f>
        <v>Inoac leidinggoot 99x68mm CD-100W</v>
      </c>
      <c r="E200" s="266" t="str">
        <f>VLOOKUP(C200,YIMM!$E:$O,11,FALSE)</f>
        <v>M</v>
      </c>
      <c r="F200" s="331">
        <f>VLOOKUP(C200,YIMM!$E:$O,10,FALSE)</f>
        <v>16.64</v>
      </c>
      <c r="G200" s="293"/>
      <c r="H200" s="293">
        <f t="shared" si="10"/>
        <v>0</v>
      </c>
      <c r="I200" s="103" t="s">
        <v>2263</v>
      </c>
    </row>
    <row r="201" spans="1:9" s="266" customFormat="1" hidden="1" outlineLevel="1">
      <c r="A201" s="100">
        <v>0</v>
      </c>
      <c r="C201" s="266" t="s">
        <v>1854</v>
      </c>
      <c r="D201" s="266" t="str">
        <f>VLOOKUP(C201,YIMM!$E:$F,2,FALSE)</f>
        <v>Inoac muur afdekkap NW100W</v>
      </c>
      <c r="E201" s="266" t="str">
        <f>VLOOKUP(C201,YIMM!$E:$O,11,FALSE)</f>
        <v>ST</v>
      </c>
      <c r="F201" s="331">
        <f>VLOOKUP(C201,YIMM!$E:$O,10,FALSE)</f>
        <v>7.49</v>
      </c>
      <c r="G201" s="293"/>
      <c r="H201" s="293">
        <f t="shared" si="10"/>
        <v>0</v>
      </c>
      <c r="I201" s="103"/>
    </row>
    <row r="202" spans="1:9" s="266" customFormat="1" hidden="1" outlineLevel="1">
      <c r="A202" s="100">
        <v>0</v>
      </c>
      <c r="C202" s="266" t="s">
        <v>1863</v>
      </c>
      <c r="D202" s="266" t="str">
        <f>VLOOKUP(C202,YIMM!$E:$F,2,FALSE)</f>
        <v>Inoac plafond/wand eindstuk NA100W</v>
      </c>
      <c r="E202" s="266" t="str">
        <f>VLOOKUP(C202,YIMM!$E:$O,11,FALSE)</f>
        <v>ST</v>
      </c>
      <c r="F202" s="331">
        <f>VLOOKUP(C202,YIMM!$E:$O,10,FALSE)</f>
        <v>5.08</v>
      </c>
      <c r="G202" s="293"/>
      <c r="H202" s="293">
        <f t="shared" si="10"/>
        <v>0</v>
      </c>
      <c r="I202" s="103"/>
    </row>
    <row r="203" spans="1:9" s="266" customFormat="1" hidden="1" outlineLevel="1">
      <c r="A203" s="100">
        <v>0</v>
      </c>
      <c r="C203" s="266" t="s">
        <v>1851</v>
      </c>
      <c r="D203" s="266" t="str">
        <f>VLOOKUP(C203,YIMM!$E:$F,2,FALSE)</f>
        <v>Inoac verbindingssok NS100W</v>
      </c>
      <c r="E203" s="266" t="str">
        <f>VLOOKUP(C203,YIMM!$E:$O,11,FALSE)</f>
        <v>ST</v>
      </c>
      <c r="F203" s="331">
        <f>VLOOKUP(C203,YIMM!$E:$O,10,FALSE)</f>
        <v>3.03</v>
      </c>
      <c r="G203" s="293"/>
      <c r="H203" s="293">
        <f t="shared" si="10"/>
        <v>0</v>
      </c>
      <c r="I203" s="103"/>
    </row>
    <row r="204" spans="1:9" s="266" customFormat="1" hidden="1" outlineLevel="1">
      <c r="A204" s="100">
        <v>0</v>
      </c>
      <c r="C204" s="266" t="s">
        <v>1857</v>
      </c>
      <c r="D204" s="266" t="str">
        <f>VLOOKUP(C204,YIMM!$E:$F,2,FALSE)</f>
        <v>Inoac platte bocht 90gr. NE100W</v>
      </c>
      <c r="E204" s="266" t="str">
        <f>VLOOKUP(C204,YIMM!$E:$O,11,FALSE)</f>
        <v>ST</v>
      </c>
      <c r="F204" s="331">
        <f>VLOOKUP(C204,YIMM!$E:$O,10,FALSE)</f>
        <v>7.16</v>
      </c>
      <c r="G204" s="293"/>
      <c r="H204" s="293">
        <f>PRODUCT(A204,F204)</f>
        <v>0</v>
      </c>
      <c r="I204" s="103"/>
    </row>
    <row r="205" spans="1:9" s="266" customFormat="1" hidden="1" outlineLevel="1">
      <c r="A205" s="100">
        <v>0</v>
      </c>
      <c r="C205" s="266" t="s">
        <v>1860</v>
      </c>
      <c r="D205" s="266" t="str">
        <f>VLOOKUP(C205,YIMM!$E:$F,2,FALSE)</f>
        <v>Inoac stijgende lange bocht NC100W</v>
      </c>
      <c r="E205" s="266" t="str">
        <f>VLOOKUP(C205,YIMM!$E:$O,11,FALSE)</f>
        <v>ST</v>
      </c>
      <c r="F205" s="331">
        <f>VLOOKUP(C205,YIMM!$E:$O,10,FALSE)</f>
        <v>6.68</v>
      </c>
      <c r="G205" s="289"/>
      <c r="H205" s="293">
        <f t="shared" si="10"/>
        <v>0</v>
      </c>
      <c r="I205" s="103"/>
    </row>
    <row r="206" spans="1:9" s="266" customFormat="1" hidden="1" outlineLevel="1">
      <c r="A206" s="100">
        <v>0</v>
      </c>
      <c r="C206" s="266" t="s">
        <v>2317</v>
      </c>
      <c r="D206" s="266" t="str">
        <f>VLOOKUP(C206,YIMM!$E:$F,2,FALSE)</f>
        <v>Inoac NT-100W T-stuk incl.2x verl. 60/75</v>
      </c>
      <c r="E206" s="266" t="str">
        <f>VLOOKUP(C206,YIMM!$E:$O,11,FALSE)</f>
        <v>ST</v>
      </c>
      <c r="F206" s="331">
        <f>VLOOKUP(C206,YIMM!$E:$O,10,FALSE)</f>
        <v>13.37</v>
      </c>
      <c r="G206" s="289"/>
      <c r="H206" s="293">
        <f t="shared" si="10"/>
        <v>0</v>
      </c>
      <c r="I206" s="103"/>
    </row>
    <row r="207" spans="1:9" s="266" customFormat="1" hidden="1" outlineLevel="1">
      <c r="A207" s="100">
        <v>0</v>
      </c>
      <c r="C207" s="266" t="s">
        <v>201</v>
      </c>
      <c r="D207" s="266" t="str">
        <f>VLOOKUP(C207,YIMM!$E:$F,2,FALSE)</f>
        <v>Inoac stijgende bocht 45°</v>
      </c>
      <c r="E207" s="266" t="str">
        <f>VLOOKUP(C207,YIMM!$E:$O,11,FALSE)</f>
        <v>ST</v>
      </c>
      <c r="F207" s="331">
        <f>VLOOKUP(C207,YIMM!$E:$O,10,FALSE)</f>
        <v>2.73</v>
      </c>
      <c r="G207" s="289"/>
      <c r="H207" s="293">
        <f t="shared" si="10"/>
        <v>0</v>
      </c>
      <c r="I207" s="103"/>
    </row>
    <row r="208" spans="1:9" s="266" customFormat="1" hidden="1" outlineLevel="1">
      <c r="A208" s="100"/>
      <c r="F208" s="331"/>
      <c r="G208" s="289"/>
      <c r="H208" s="293"/>
      <c r="I208" s="103"/>
    </row>
    <row r="209" spans="1:9" s="266" customFormat="1" hidden="1" outlineLevel="1">
      <c r="A209" s="100">
        <v>0</v>
      </c>
      <c r="C209" s="266" t="s">
        <v>2408</v>
      </c>
      <c r="D209" s="266" t="str">
        <f>VLOOKUP(C209,YIMM!$E:$F,2,FALSE)</f>
        <v>Inoac goot 2 m 99x68mm CD-75BK</v>
      </c>
      <c r="E209" s="266" t="str">
        <f>VLOOKUP(C209,YIMM!$E:$O,11,FALSE)</f>
        <v>M</v>
      </c>
      <c r="F209" s="331">
        <f>VLOOKUP(C209,YIMM!$E:$O,10,FALSE)</f>
        <v>5.44</v>
      </c>
      <c r="G209" s="289"/>
      <c r="H209" s="293">
        <f t="shared" ref="H209:H223" si="11">PRODUCT(A209,F209)</f>
        <v>0</v>
      </c>
      <c r="I209" s="103" t="s">
        <v>2263</v>
      </c>
    </row>
    <row r="210" spans="1:9" s="266" customFormat="1" hidden="1" outlineLevel="1">
      <c r="A210" s="100">
        <v>0</v>
      </c>
      <c r="C210" s="266" t="s">
        <v>2421</v>
      </c>
      <c r="D210" s="266" t="str">
        <f>VLOOKUP(C210,YIMM!$E:$F,2,FALSE)</f>
        <v>Inoac muur afdekkap NW-75BK</v>
      </c>
      <c r="E210" s="266" t="str">
        <f>VLOOKUP(C210,YIMM!$E:$O,11,FALSE)</f>
        <v>ST</v>
      </c>
      <c r="F210" s="331">
        <f>VLOOKUP(C210,YIMM!$E:$O,10,FALSE)</f>
        <v>4.33</v>
      </c>
      <c r="G210" s="289"/>
      <c r="H210" s="293">
        <f t="shared" si="11"/>
        <v>0</v>
      </c>
      <c r="I210" s="103"/>
    </row>
    <row r="211" spans="1:9" s="266" customFormat="1" hidden="1" outlineLevel="1">
      <c r="A211" s="100">
        <v>0</v>
      </c>
      <c r="C211" s="266" t="s">
        <v>2416</v>
      </c>
      <c r="D211" s="266" t="str">
        <f>VLOOKUP(C211,YIMM!$E:$F,2,FALSE)</f>
        <v>Inoac plafond/wand eindstuk NA-75BK</v>
      </c>
      <c r="E211" s="266" t="str">
        <f>VLOOKUP(C211,YIMM!$E:$O,11,FALSE)</f>
        <v>ST</v>
      </c>
      <c r="F211" s="331">
        <f>VLOOKUP(C211,YIMM!$E:$O,10,FALSE)</f>
        <v>4.22</v>
      </c>
      <c r="G211" s="289"/>
      <c r="H211" s="293">
        <f t="shared" si="11"/>
        <v>0</v>
      </c>
      <c r="I211" s="103"/>
    </row>
    <row r="212" spans="1:9" s="266" customFormat="1" hidden="1" outlineLevel="1">
      <c r="A212" s="100">
        <v>0</v>
      </c>
      <c r="C212" s="266" t="s">
        <v>2412</v>
      </c>
      <c r="D212" s="266" t="str">
        <f>VLOOKUP(C212,YIMM!$E:$F,2,FALSE)</f>
        <v>Inoac verbindingssok NS-75BK</v>
      </c>
      <c r="E212" s="266" t="str">
        <f>VLOOKUP(C212,YIMM!$E:$O,11,FALSE)</f>
        <v>ST</v>
      </c>
      <c r="F212" s="331">
        <f>VLOOKUP(C212,YIMM!$E:$O,10,FALSE)</f>
        <v>1.61</v>
      </c>
      <c r="G212" s="289"/>
      <c r="H212" s="293">
        <f t="shared" si="11"/>
        <v>0</v>
      </c>
      <c r="I212" s="103"/>
    </row>
    <row r="213" spans="1:9" s="266" customFormat="1" hidden="1" outlineLevel="1">
      <c r="A213" s="100">
        <v>0</v>
      </c>
      <c r="C213" s="266" t="s">
        <v>2418</v>
      </c>
      <c r="D213" s="266" t="str">
        <f>VLOOKUP(C213,YIMM!$E:$F,2,FALSE)</f>
        <v>Inoac lange bocht 90gr. NE-75BK</v>
      </c>
      <c r="E213" s="266" t="str">
        <f>VLOOKUP(C213,YIMM!$E:$O,11,FALSE)</f>
        <v>ST</v>
      </c>
      <c r="F213" s="331">
        <f>VLOOKUP(C213,YIMM!$E:$O,10,FALSE)</f>
        <v>4.49</v>
      </c>
      <c r="G213" s="289"/>
      <c r="H213" s="293">
        <f t="shared" si="11"/>
        <v>0</v>
      </c>
      <c r="I213" s="103"/>
    </row>
    <row r="214" spans="1:9" s="266" customFormat="1" hidden="1" outlineLevel="1">
      <c r="A214" s="100">
        <v>0</v>
      </c>
      <c r="C214" s="266" t="s">
        <v>2414</v>
      </c>
      <c r="D214" s="266" t="str">
        <f>VLOOKUP(C214,YIMM!$E:$F,2,FALSE)</f>
        <v>Inoac stijg. buitenbocht 90 gr. NC-75BK</v>
      </c>
      <c r="E214" s="266" t="str">
        <f>VLOOKUP(C214,YIMM!$E:$O,11,FALSE)</f>
        <v>ST</v>
      </c>
      <c r="F214" s="331">
        <f>VLOOKUP(C214,YIMM!$E:$O,10,FALSE)</f>
        <v>4.22</v>
      </c>
      <c r="G214" s="289"/>
      <c r="H214" s="293">
        <f t="shared" si="11"/>
        <v>0</v>
      </c>
      <c r="I214" s="103"/>
    </row>
    <row r="215" spans="1:9" s="266" customFormat="1" hidden="1" outlineLevel="1">
      <c r="A215" s="100">
        <v>0</v>
      </c>
      <c r="C215" s="266" t="s">
        <v>2452</v>
      </c>
      <c r="D215" s="266" t="str">
        <f>VLOOKUP(C215,YIMM!$E:$F,2,FALSE)</f>
        <v>Inoac NT-75BK T-stuk incl. 2x verloop 60</v>
      </c>
      <c r="E215" s="266" t="str">
        <f>VLOOKUP(C215,YIMM!$E:$O,11,FALSE)</f>
        <v>ST</v>
      </c>
      <c r="F215" s="331">
        <f>VLOOKUP(C215,YIMM!$E:$O,10,FALSE)</f>
        <v>12</v>
      </c>
      <c r="G215" s="289"/>
      <c r="H215" s="293"/>
      <c r="I215" s="103"/>
    </row>
    <row r="216" spans="1:9" s="266" customFormat="1" hidden="1" outlineLevel="1">
      <c r="A216" s="100"/>
      <c r="F216" s="331"/>
      <c r="G216" s="289"/>
      <c r="H216" s="293"/>
      <c r="I216" s="103"/>
    </row>
    <row r="217" spans="1:9" s="266" customFormat="1" hidden="1" outlineLevel="1">
      <c r="A217" s="100">
        <v>0</v>
      </c>
      <c r="C217" s="266" t="s">
        <v>2406</v>
      </c>
      <c r="D217" s="266" t="str">
        <f>VLOOKUP(C217,YIMM!$E:$F,2,FALSE)</f>
        <v>Inoac goot 2 m 99x68mm CD-100BK</v>
      </c>
      <c r="E217" s="266" t="str">
        <f>VLOOKUP(C217,YIMM!$E:$O,11,FALSE)</f>
        <v>M</v>
      </c>
      <c r="F217" s="331">
        <f>VLOOKUP(C217,YIMM!$E:$O,10,FALSE)</f>
        <v>8.7799999999999994</v>
      </c>
      <c r="G217" s="289"/>
      <c r="H217" s="293">
        <f t="shared" si="11"/>
        <v>0</v>
      </c>
      <c r="I217" s="103" t="s">
        <v>2263</v>
      </c>
    </row>
    <row r="218" spans="1:9" s="266" customFormat="1" hidden="1" outlineLevel="1">
      <c r="A218" s="100">
        <v>0</v>
      </c>
      <c r="C218" s="266" t="s">
        <v>2436</v>
      </c>
      <c r="D218" s="266" t="str">
        <f>VLOOKUP(C218,YIMM!$E:$F,2,FALSE)</f>
        <v>Inoac muur afdekkap NW-100BK</v>
      </c>
      <c r="E218" s="266" t="str">
        <f>VLOOKUP(C218,YIMM!$E:$O,11,FALSE)</f>
        <v>ST</v>
      </c>
      <c r="F218" s="331">
        <f>VLOOKUP(C218,YIMM!$E:$O,10,FALSE)</f>
        <v>8.1199999999999992</v>
      </c>
      <c r="G218" s="289"/>
      <c r="H218" s="293">
        <f t="shared" si="11"/>
        <v>0</v>
      </c>
      <c r="I218" s="103"/>
    </row>
    <row r="219" spans="1:9" s="266" customFormat="1" hidden="1" outlineLevel="1">
      <c r="A219" s="100">
        <v>0</v>
      </c>
      <c r="C219" s="266" t="s">
        <v>2431</v>
      </c>
      <c r="D219" s="266" t="str">
        <f>VLOOKUP(C219,YIMM!$E:$F,2,FALSE)</f>
        <v>Inoac plafond/wand eindstuk NA-100BK</v>
      </c>
      <c r="E219" s="266" t="str">
        <f>VLOOKUP(C219,YIMM!$E:$O,11,FALSE)</f>
        <v>ST</v>
      </c>
      <c r="F219" s="331">
        <f>VLOOKUP(C219,YIMM!$E:$O,10,FALSE)</f>
        <v>5.5</v>
      </c>
      <c r="G219" s="289"/>
      <c r="H219" s="293">
        <f t="shared" si="11"/>
        <v>0</v>
      </c>
      <c r="I219" s="103"/>
    </row>
    <row r="220" spans="1:9" s="266" customFormat="1" hidden="1" outlineLevel="1">
      <c r="A220" s="100">
        <v>0</v>
      </c>
      <c r="C220" s="266" t="s">
        <v>2424</v>
      </c>
      <c r="D220" s="266" t="str">
        <f>VLOOKUP(C220,YIMM!$E:$F,2,FALSE)</f>
        <v>Inoac verbindingssok NS-100BK</v>
      </c>
      <c r="E220" s="266" t="str">
        <f>VLOOKUP(C220,YIMM!$E:$O,11,FALSE)</f>
        <v>ST</v>
      </c>
      <c r="F220" s="331">
        <f>VLOOKUP(C220,YIMM!$E:$O,10,FALSE)</f>
        <v>3.29</v>
      </c>
      <c r="G220" s="289"/>
      <c r="H220" s="293">
        <f t="shared" si="11"/>
        <v>0</v>
      </c>
      <c r="I220" s="103"/>
    </row>
    <row r="221" spans="1:9" s="266" customFormat="1" hidden="1" outlineLevel="1">
      <c r="A221" s="100">
        <v>0</v>
      </c>
      <c r="C221" s="266" t="s">
        <v>2434</v>
      </c>
      <c r="D221" s="266" t="str">
        <f>VLOOKUP(C221,YIMM!$E:$F,2,FALSE)</f>
        <v>Inoac platte bocht 90gr. NE-100BK</v>
      </c>
      <c r="E221" s="266" t="str">
        <f>VLOOKUP(C221,YIMM!$E:$O,11,FALSE)</f>
        <v>ST</v>
      </c>
      <c r="F221" s="331">
        <f>VLOOKUP(C221,YIMM!$E:$O,10,FALSE)</f>
        <v>7.75</v>
      </c>
      <c r="G221" s="289"/>
      <c r="H221" s="293">
        <f t="shared" si="11"/>
        <v>0</v>
      </c>
      <c r="I221" s="103"/>
    </row>
    <row r="222" spans="1:9" s="266" customFormat="1" hidden="1" outlineLevel="1">
      <c r="A222" s="100">
        <v>0</v>
      </c>
      <c r="C222" s="266" t="s">
        <v>2429</v>
      </c>
      <c r="D222" s="266" t="str">
        <f>VLOOKUP(C222,YIMM!$E:$F,2,FALSE)</f>
        <v>Inoac stijgende lange bocht NC-100BK</v>
      </c>
      <c r="E222" s="266" t="str">
        <f>VLOOKUP(C222,YIMM!$E:$O,11,FALSE)</f>
        <v>ST</v>
      </c>
      <c r="F222" s="331">
        <f>VLOOKUP(C222,YIMM!$E:$O,10,FALSE)</f>
        <v>7.24</v>
      </c>
      <c r="G222" s="289"/>
      <c r="H222" s="293">
        <f t="shared" si="11"/>
        <v>0</v>
      </c>
      <c r="I222" s="103"/>
    </row>
    <row r="223" spans="1:9" s="266" customFormat="1" hidden="1" outlineLevel="1">
      <c r="A223" s="100">
        <v>0</v>
      </c>
      <c r="C223" s="266" t="s">
        <v>2427</v>
      </c>
      <c r="D223" s="266" t="str">
        <f>VLOOKUP(C223,YIMM!$E:$F,2,FALSE)</f>
        <v>Inoac NT-100BK T-Stuk incl.2xverl 60/75</v>
      </c>
      <c r="E223" s="266" t="str">
        <f>VLOOKUP(C223,YIMM!$E:$O,11,FALSE)</f>
        <v>ST</v>
      </c>
      <c r="F223" s="331">
        <f>VLOOKUP(C223,YIMM!$E:$O,10,FALSE)</f>
        <v>14.45</v>
      </c>
      <c r="G223" s="289"/>
      <c r="H223" s="293">
        <f t="shared" si="11"/>
        <v>0</v>
      </c>
      <c r="I223" s="103"/>
    </row>
    <row r="224" spans="1:9" s="266" customFormat="1" hidden="1" outlineLevel="1">
      <c r="A224" s="105">
        <v>0</v>
      </c>
      <c r="C224" s="292" t="s">
        <v>1777</v>
      </c>
      <c r="D224" s="100"/>
      <c r="E224" s="266" t="s">
        <v>293</v>
      </c>
      <c r="F224" s="102"/>
      <c r="G224" s="293"/>
      <c r="H224" s="293">
        <f t="shared" si="10"/>
        <v>0</v>
      </c>
      <c r="I224" s="103"/>
    </row>
    <row r="225" spans="1:9" s="266" customFormat="1" hidden="1" outlineLevel="1">
      <c r="A225" s="105">
        <v>0</v>
      </c>
      <c r="C225" s="292" t="s">
        <v>1777</v>
      </c>
      <c r="D225" s="100"/>
      <c r="E225" s="266" t="s">
        <v>293</v>
      </c>
      <c r="F225" s="102"/>
      <c r="G225" s="293"/>
      <c r="H225" s="293">
        <f t="shared" si="10"/>
        <v>0</v>
      </c>
      <c r="I225" s="103"/>
    </row>
    <row r="226" spans="1:9" s="266" customFormat="1" hidden="1" outlineLevel="1">
      <c r="A226" s="105">
        <v>0</v>
      </c>
      <c r="C226" s="292" t="s">
        <v>1777</v>
      </c>
      <c r="D226" s="100"/>
      <c r="E226" s="266" t="s">
        <v>293</v>
      </c>
      <c r="F226" s="102"/>
      <c r="G226" s="293"/>
      <c r="H226" s="293">
        <f t="shared" si="10"/>
        <v>0</v>
      </c>
      <c r="I226" s="103"/>
    </row>
    <row r="227" spans="1:9" s="266" customFormat="1" ht="18.75" collapsed="1" thickTop="1">
      <c r="F227" s="280"/>
      <c r="G227" s="289"/>
      <c r="H227" s="273"/>
      <c r="I227" s="295"/>
    </row>
    <row r="228" spans="1:9" s="266" customFormat="1" ht="18.75" thickBot="1">
      <c r="A228" s="296" t="s">
        <v>226</v>
      </c>
      <c r="B228" s="297"/>
      <c r="C228" s="297"/>
      <c r="D228" s="297"/>
      <c r="E228" s="297"/>
      <c r="F228" s="298"/>
      <c r="G228" s="299" t="s">
        <v>132</v>
      </c>
      <c r="H228" s="97">
        <f>SUM(H229:H237)</f>
        <v>0</v>
      </c>
      <c r="I228" s="259"/>
    </row>
    <row r="229" spans="1:9" s="266" customFormat="1" ht="18.75" hidden="1" outlineLevel="1" thickTop="1">
      <c r="A229" s="100">
        <v>0</v>
      </c>
      <c r="C229" s="266" t="s">
        <v>227</v>
      </c>
      <c r="D229" s="266" t="str">
        <f>VLOOKUP(C229,YIMM!$E:$F,2,FALSE)</f>
        <v>Danfoss flare/soldeer FA-7 (7/8)</v>
      </c>
      <c r="E229" s="266" t="str">
        <f>VLOOKUP(C229,YIMM!$E:$O,11,FALSE)</f>
        <v>ST</v>
      </c>
      <c r="F229" s="331">
        <f>VLOOKUP(C229,YIMM!$E:$O,10,FALSE)</f>
        <v>15.3</v>
      </c>
      <c r="G229" s="293"/>
      <c r="H229" s="293">
        <f t="shared" ref="H229:H237" si="12">PRODUCT(A229,F229)</f>
        <v>0</v>
      </c>
      <c r="I229" s="103"/>
    </row>
    <row r="230" spans="1:9" s="266" customFormat="1" hidden="1" outlineLevel="1">
      <c r="A230" s="100">
        <v>0</v>
      </c>
      <c r="C230" s="266" t="s">
        <v>228</v>
      </c>
      <c r="D230" s="266" t="str">
        <f>VLOOKUP(C230,YIMM!$E:$F,2,FALSE)</f>
        <v>Danfoss flare/soldeer FSA 22 1/4</v>
      </c>
      <c r="E230" s="266" t="str">
        <f>VLOOKUP(C230,YIMM!$E:$O,11,FALSE)</f>
        <v>ST</v>
      </c>
      <c r="F230" s="331">
        <f>VLOOKUP(C230,YIMM!$E:$O,10,FALSE)</f>
        <v>2.67</v>
      </c>
      <c r="G230" s="293"/>
      <c r="H230" s="293">
        <f t="shared" si="12"/>
        <v>0</v>
      </c>
      <c r="I230" s="103"/>
    </row>
    <row r="231" spans="1:9" s="266" customFormat="1" hidden="1" outlineLevel="1">
      <c r="A231" s="100">
        <v>0</v>
      </c>
      <c r="C231" s="266" t="s">
        <v>229</v>
      </c>
      <c r="D231" s="266" t="str">
        <f>VLOOKUP(C231,YIMM!$E:$F,2,FALSE)</f>
        <v>Danfoss flare/soldeer FSA 33 3/8</v>
      </c>
      <c r="E231" s="266" t="str">
        <f>VLOOKUP(C231,YIMM!$E:$O,11,FALSE)</f>
        <v>ST</v>
      </c>
      <c r="F231" s="331">
        <f>VLOOKUP(C231,YIMM!$E:$O,10,FALSE)</f>
        <v>3.62</v>
      </c>
      <c r="G231" s="293"/>
      <c r="H231" s="293">
        <f t="shared" si="12"/>
        <v>0</v>
      </c>
      <c r="I231" s="103"/>
    </row>
    <row r="232" spans="1:9" s="266" customFormat="1" hidden="1" outlineLevel="1">
      <c r="A232" s="100">
        <v>0</v>
      </c>
      <c r="C232" s="266" t="s">
        <v>230</v>
      </c>
      <c r="D232" s="266" t="str">
        <f>VLOOKUP(C232,YIMM!$E:$F,2,FALSE)</f>
        <v>Danfoss flare/soldeer FSA 44 1/2</v>
      </c>
      <c r="E232" s="266" t="str">
        <f>VLOOKUP(C232,YIMM!$E:$O,11,FALSE)</f>
        <v>ST</v>
      </c>
      <c r="F232" s="331">
        <f>VLOOKUP(C232,YIMM!$E:$O,10,FALSE)</f>
        <v>4.46</v>
      </c>
      <c r="G232" s="293"/>
      <c r="H232" s="293">
        <f t="shared" si="12"/>
        <v>0</v>
      </c>
      <c r="I232" s="103"/>
    </row>
    <row r="233" spans="1:9" s="266" customFormat="1" hidden="1" outlineLevel="1">
      <c r="A233" s="100">
        <v>0</v>
      </c>
      <c r="C233" s="266" t="s">
        <v>231</v>
      </c>
      <c r="D233" s="266" t="str">
        <f>VLOOKUP(C233,YIMM!$E:$F,2,FALSE)</f>
        <v>Danfoss flare/soldeer FSA 516 5/8</v>
      </c>
      <c r="E233" s="266" t="str">
        <f>VLOOKUP(C233,YIMM!$E:$O,11,FALSE)</f>
        <v>ST</v>
      </c>
      <c r="F233" s="331">
        <f>VLOOKUP(C233,YIMM!$E:$O,10,FALSE)</f>
        <v>5.49</v>
      </c>
      <c r="G233" s="293"/>
      <c r="H233" s="293">
        <f t="shared" si="12"/>
        <v>0</v>
      </c>
      <c r="I233" s="103"/>
    </row>
    <row r="234" spans="1:9" s="266" customFormat="1" hidden="1" outlineLevel="1">
      <c r="A234" s="100">
        <v>0</v>
      </c>
      <c r="C234" s="266" t="s">
        <v>232</v>
      </c>
      <c r="D234" s="266" t="str">
        <f>VLOOKUP(C234,YIMM!$E:$F,2,FALSE)</f>
        <v>Danfoss flare/soldeer FSA 66 3/4"</v>
      </c>
      <c r="E234" s="266" t="str">
        <f>VLOOKUP(C234,YIMM!$E:$O,11,FALSE)</f>
        <v>ST</v>
      </c>
      <c r="F234" s="331">
        <f>VLOOKUP(C234,YIMM!$E:$O,10,FALSE)</f>
        <v>9.3000000000000007</v>
      </c>
      <c r="G234" s="293"/>
      <c r="H234" s="293">
        <f t="shared" si="12"/>
        <v>0</v>
      </c>
      <c r="I234" s="103"/>
    </row>
    <row r="235" spans="1:9" s="266" customFormat="1" hidden="1" outlineLevel="1">
      <c r="A235" s="105">
        <v>0</v>
      </c>
      <c r="C235" s="292" t="s">
        <v>1777</v>
      </c>
      <c r="D235" s="100"/>
      <c r="E235" s="266" t="s">
        <v>293</v>
      </c>
      <c r="F235" s="102"/>
      <c r="G235" s="293"/>
      <c r="H235" s="293">
        <f t="shared" si="12"/>
        <v>0</v>
      </c>
      <c r="I235" s="103"/>
    </row>
    <row r="236" spans="1:9" s="266" customFormat="1" hidden="1" outlineLevel="1">
      <c r="A236" s="105">
        <v>0</v>
      </c>
      <c r="C236" s="292" t="s">
        <v>1777</v>
      </c>
      <c r="D236" s="100"/>
      <c r="E236" s="266" t="s">
        <v>293</v>
      </c>
      <c r="F236" s="102"/>
      <c r="G236" s="293"/>
      <c r="H236" s="293">
        <f t="shared" si="12"/>
        <v>0</v>
      </c>
      <c r="I236" s="103"/>
    </row>
    <row r="237" spans="1:9" s="266" customFormat="1" hidden="1" outlineLevel="1">
      <c r="A237" s="105">
        <v>0</v>
      </c>
      <c r="C237" s="292" t="s">
        <v>1777</v>
      </c>
      <c r="D237" s="100"/>
      <c r="E237" s="266" t="s">
        <v>293</v>
      </c>
      <c r="F237" s="102"/>
      <c r="G237" s="293"/>
      <c r="H237" s="293">
        <f t="shared" si="12"/>
        <v>0</v>
      </c>
      <c r="I237" s="103"/>
    </row>
    <row r="238" spans="1:9" s="266" customFormat="1" ht="18.75" collapsed="1" thickTop="1">
      <c r="F238" s="280"/>
      <c r="G238" s="289"/>
      <c r="H238" s="273"/>
      <c r="I238" s="295"/>
    </row>
    <row r="239" spans="1:9" s="266" customFormat="1" ht="18.75" thickBot="1">
      <c r="A239" s="296" t="s">
        <v>233</v>
      </c>
      <c r="B239" s="297"/>
      <c r="C239" s="297"/>
      <c r="D239" s="297"/>
      <c r="E239" s="297"/>
      <c r="F239" s="298"/>
      <c r="G239" s="299" t="s">
        <v>132</v>
      </c>
      <c r="H239" s="97">
        <f>SUM(H240:H245)</f>
        <v>0</v>
      </c>
      <c r="I239" s="259"/>
    </row>
    <row r="240" spans="1:9" s="266" customFormat="1" ht="18.75" hidden="1" outlineLevel="1" thickTop="1">
      <c r="A240" s="100">
        <v>0</v>
      </c>
      <c r="C240" s="266" t="s">
        <v>234</v>
      </c>
      <c r="D240" s="266" t="str">
        <f>VLOOKUP(C240,YIMM!$E:$F,2,FALSE)</f>
        <v>Sontheimer werkschakelaar 3P/16A 230V</v>
      </c>
      <c r="E240" s="266" t="str">
        <f>VLOOKUP(C240,YIMM!$E:$O,11,FALSE)</f>
        <v>ST</v>
      </c>
      <c r="F240" s="331">
        <f>VLOOKUP(C240,YIMM!$E:$O,10,FALSE)</f>
        <v>15.02</v>
      </c>
      <c r="G240" s="293"/>
      <c r="H240" s="293">
        <f>PRODUCT(A240,F240)</f>
        <v>0</v>
      </c>
      <c r="I240" s="103"/>
    </row>
    <row r="241" spans="1:9" s="266" customFormat="1" hidden="1" outlineLevel="1">
      <c r="A241" s="100">
        <v>0</v>
      </c>
      <c r="C241" s="266" t="s">
        <v>235</v>
      </c>
      <c r="D241" s="266" t="str">
        <f>VLOOKUP(C241,YIMM!$E:$F,2,FALSE)</f>
        <v>Sontheimer werkschakelaar 4P/25A 230/400</v>
      </c>
      <c r="E241" s="266" t="str">
        <f>VLOOKUP(C241,YIMM!$E:$O,11,FALSE)</f>
        <v>ST</v>
      </c>
      <c r="F241" s="331">
        <f>VLOOKUP(C241,YIMM!$E:$O,10,FALSE)</f>
        <v>18.75</v>
      </c>
      <c r="G241" s="293"/>
      <c r="H241" s="293">
        <f>PRODUCT(A241,F241)</f>
        <v>0</v>
      </c>
      <c r="I241" s="103"/>
    </row>
    <row r="242" spans="1:9" s="266" customFormat="1" hidden="1" outlineLevel="1">
      <c r="A242" s="100">
        <v>0</v>
      </c>
      <c r="C242" s="266" t="s">
        <v>236</v>
      </c>
      <c r="D242" s="266" t="str">
        <f>VLOOKUP(C242,YIMM!$E:$F,2,FALSE)</f>
        <v>Sontheimer werkschakelaar 4P/63A 400V</v>
      </c>
      <c r="E242" s="266" t="str">
        <f>VLOOKUP(C242,YIMM!$E:$O,11,FALSE)</f>
        <v>ST</v>
      </c>
      <c r="F242" s="331">
        <f>VLOOKUP(C242,YIMM!$E:$O,10,FALSE)</f>
        <v>62.85</v>
      </c>
      <c r="G242" s="293"/>
      <c r="H242" s="293">
        <f>PRODUCT(A242,F242)</f>
        <v>0</v>
      </c>
      <c r="I242" s="103"/>
    </row>
    <row r="243" spans="1:9" s="266" customFormat="1" hidden="1" outlineLevel="1">
      <c r="A243" s="105">
        <v>0</v>
      </c>
      <c r="C243" s="292" t="s">
        <v>1777</v>
      </c>
      <c r="D243" s="100"/>
      <c r="E243" s="266" t="s">
        <v>293</v>
      </c>
      <c r="F243" s="102"/>
      <c r="G243" s="293"/>
      <c r="H243" s="293">
        <f t="shared" ref="H243:H245" si="13">PRODUCT(A243,F243)</f>
        <v>0</v>
      </c>
      <c r="I243" s="103"/>
    </row>
    <row r="244" spans="1:9" s="266" customFormat="1" hidden="1" outlineLevel="1">
      <c r="A244" s="105">
        <v>0</v>
      </c>
      <c r="C244" s="292" t="s">
        <v>1777</v>
      </c>
      <c r="D244" s="100"/>
      <c r="E244" s="266" t="s">
        <v>293</v>
      </c>
      <c r="F244" s="102"/>
      <c r="G244" s="293"/>
      <c r="H244" s="293">
        <f t="shared" si="13"/>
        <v>0</v>
      </c>
      <c r="I244" s="103"/>
    </row>
    <row r="245" spans="1:9" s="266" customFormat="1" hidden="1" outlineLevel="1">
      <c r="A245" s="105">
        <v>0</v>
      </c>
      <c r="C245" s="292" t="s">
        <v>1777</v>
      </c>
      <c r="D245" s="100"/>
      <c r="E245" s="266" t="s">
        <v>293</v>
      </c>
      <c r="F245" s="102"/>
      <c r="G245" s="293"/>
      <c r="H245" s="293">
        <f t="shared" si="13"/>
        <v>0</v>
      </c>
      <c r="I245" s="103"/>
    </row>
    <row r="246" spans="1:9" s="266" customFormat="1" ht="18.75" collapsed="1" thickTop="1">
      <c r="F246" s="293"/>
      <c r="G246" s="293"/>
      <c r="H246" s="293"/>
      <c r="I246" s="295"/>
    </row>
    <row r="247" spans="1:9" s="266" customFormat="1" ht="18.75" thickBot="1">
      <c r="A247" s="296" t="s">
        <v>237</v>
      </c>
      <c r="B247" s="297"/>
      <c r="C247" s="297"/>
      <c r="D247" s="297"/>
      <c r="E247" s="297"/>
      <c r="F247" s="298"/>
      <c r="G247" s="299" t="s">
        <v>132</v>
      </c>
      <c r="H247" s="97">
        <f>SUM(H248:H253)</f>
        <v>0</v>
      </c>
      <c r="I247" s="259"/>
    </row>
    <row r="248" spans="1:9" s="266" customFormat="1" ht="18.75" hidden="1" outlineLevel="1" thickTop="1">
      <c r="A248" s="100">
        <v>0</v>
      </c>
      <c r="C248" s="266" t="s">
        <v>238</v>
      </c>
      <c r="D248" s="266" t="str">
        <f>VLOOKUP(C248,YIMM!$E:$F,2,FALSE)</f>
        <v>Koudemiddel R32</v>
      </c>
      <c r="E248" s="266" t="str">
        <f>VLOOKUP(C248,YIMM!$E:$O,11,FALSE)</f>
        <v>KG</v>
      </c>
      <c r="F248" s="331">
        <f>VLOOKUP(C248,YIMM!$E:$O,10,FALSE)</f>
        <v>24.55</v>
      </c>
      <c r="G248" s="289"/>
      <c r="H248" s="293">
        <f>PRODUCT(A248,F248)</f>
        <v>0</v>
      </c>
      <c r="I248" s="103"/>
    </row>
    <row r="249" spans="1:9" s="266" customFormat="1" hidden="1" outlineLevel="1">
      <c r="A249" s="100">
        <v>0</v>
      </c>
      <c r="C249" s="266" t="s">
        <v>239</v>
      </c>
      <c r="D249" s="266" t="str">
        <f>VLOOKUP(C249,YIMM!$E:$F,2,FALSE)</f>
        <v>Koudemiddel R410A</v>
      </c>
      <c r="E249" s="266" t="str">
        <f>VLOOKUP(C249,YIMM!$E:$O,11,FALSE)</f>
        <v>KG</v>
      </c>
      <c r="F249" s="331">
        <f>VLOOKUP(C249,YIMM!$E:$O,10,FALSE)</f>
        <v>50.23</v>
      </c>
      <c r="G249" s="289"/>
      <c r="H249" s="293">
        <f>PRODUCT(A249,F249)</f>
        <v>0</v>
      </c>
      <c r="I249" s="103"/>
    </row>
    <row r="250" spans="1:9" s="266" customFormat="1" hidden="1" outlineLevel="1">
      <c r="A250" s="100">
        <v>0</v>
      </c>
      <c r="D250" s="266" t="s">
        <v>240</v>
      </c>
      <c r="E250" s="110" t="s">
        <v>241</v>
      </c>
      <c r="F250" s="98">
        <v>9.1999999999999993</v>
      </c>
      <c r="G250" s="289"/>
      <c r="H250" s="293">
        <f>PRODUCT(A250,F250)</f>
        <v>0</v>
      </c>
      <c r="I250" s="103"/>
    </row>
    <row r="251" spans="1:9" s="266" customFormat="1" hidden="1" outlineLevel="1">
      <c r="A251" s="105">
        <v>0</v>
      </c>
      <c r="C251" s="292" t="s">
        <v>1777</v>
      </c>
      <c r="D251" s="100"/>
      <c r="E251" s="266" t="s">
        <v>293</v>
      </c>
      <c r="F251" s="102"/>
      <c r="G251" s="293"/>
      <c r="H251" s="293">
        <f t="shared" ref="H251:H253" si="14">PRODUCT(A251,F251)</f>
        <v>0</v>
      </c>
      <c r="I251" s="103"/>
    </row>
    <row r="252" spans="1:9" s="266" customFormat="1" hidden="1" outlineLevel="1">
      <c r="A252" s="105">
        <v>0</v>
      </c>
      <c r="C252" s="292" t="s">
        <v>1777</v>
      </c>
      <c r="D252" s="100"/>
      <c r="E252" s="266" t="s">
        <v>293</v>
      </c>
      <c r="F252" s="102"/>
      <c r="G252" s="293"/>
      <c r="H252" s="293">
        <f t="shared" si="14"/>
        <v>0</v>
      </c>
      <c r="I252" s="103"/>
    </row>
    <row r="253" spans="1:9" s="266" customFormat="1" hidden="1" outlineLevel="1">
      <c r="A253" s="105">
        <v>0</v>
      </c>
      <c r="C253" s="292" t="s">
        <v>1777</v>
      </c>
      <c r="D253" s="100"/>
      <c r="E253" s="266" t="s">
        <v>293</v>
      </c>
      <c r="F253" s="102"/>
      <c r="G253" s="293"/>
      <c r="H253" s="293">
        <f t="shared" si="14"/>
        <v>0</v>
      </c>
      <c r="I253" s="103"/>
    </row>
    <row r="254" spans="1:9" ht="18.75" collapsed="1" thickTop="1">
      <c r="I254" s="286"/>
    </row>
    <row r="255" spans="1:9" ht="18.75" thickBot="1">
      <c r="A255" s="275" t="s">
        <v>1657</v>
      </c>
      <c r="B255" s="276"/>
      <c r="C255" s="276"/>
      <c r="D255" s="276"/>
      <c r="E255" s="276"/>
      <c r="F255" s="276"/>
      <c r="G255" s="299" t="s">
        <v>132</v>
      </c>
      <c r="H255" s="97">
        <f>SUM(H256:H263)</f>
        <v>0</v>
      </c>
      <c r="I255" s="259"/>
    </row>
    <row r="256" spans="1:9" s="266" customFormat="1" ht="18.75" hidden="1" outlineLevel="1" thickTop="1">
      <c r="A256" s="100">
        <v>0</v>
      </c>
      <c r="C256" s="266" t="s">
        <v>254</v>
      </c>
      <c r="D256" s="266" t="str">
        <f>VLOOKUP(C256,YIMM!$E:$F,2,FALSE)</f>
        <v>Alum. plakplaat 125mm EW</v>
      </c>
      <c r="E256" s="266" t="str">
        <f>VLOOKUP(C256,YIMM!$E:$O,11,FALSE)</f>
        <v>ST</v>
      </c>
      <c r="F256" s="331">
        <f>VLOOKUP(C256,YIMM!$E:$O,10,FALSE)</f>
        <v>16.88</v>
      </c>
      <c r="G256" s="293"/>
      <c r="H256" s="293">
        <f>PRODUCT(A256,F256)</f>
        <v>0</v>
      </c>
      <c r="I256" s="103"/>
    </row>
    <row r="257" spans="1:9" s="266" customFormat="1" hidden="1" outlineLevel="1">
      <c r="A257" s="100">
        <v>0</v>
      </c>
      <c r="C257" s="266" t="s">
        <v>267</v>
      </c>
      <c r="D257" s="266" t="str">
        <f>VLOOKUP(C257,YIMM!$E:$F,2,FALSE)</f>
        <v>PVC bocht grijs 45 gr. SN4 125 mm mof/sp</v>
      </c>
      <c r="E257" s="266" t="str">
        <f>VLOOKUP(C257,YIMM!$E:$O,11,FALSE)</f>
        <v>ST</v>
      </c>
      <c r="F257" s="331">
        <f>VLOOKUP(C257,YIMM!$E:$O,10,FALSE)</f>
        <v>6.89</v>
      </c>
      <c r="G257" s="293"/>
      <c r="H257" s="293">
        <f>PRODUCT(A257,F257)</f>
        <v>0</v>
      </c>
      <c r="I257" s="103"/>
    </row>
    <row r="258" spans="1:9" s="266" customFormat="1" hidden="1" outlineLevel="1">
      <c r="A258" s="100">
        <v>0</v>
      </c>
      <c r="C258" s="292" t="s">
        <v>1777</v>
      </c>
      <c r="D258" s="266" t="s">
        <v>1740</v>
      </c>
      <c r="E258" s="110" t="s">
        <v>121</v>
      </c>
      <c r="F258" s="98">
        <v>40.020000000000003</v>
      </c>
      <c r="G258" s="293"/>
      <c r="H258" s="293">
        <f>PRODUCT(A258,F258)</f>
        <v>0</v>
      </c>
      <c r="I258" s="103"/>
    </row>
    <row r="259" spans="1:9" s="266" customFormat="1" hidden="1" outlineLevel="1">
      <c r="A259" s="100">
        <v>0</v>
      </c>
      <c r="C259" s="292" t="s">
        <v>1777</v>
      </c>
      <c r="D259" s="266" t="s">
        <v>1741</v>
      </c>
      <c r="E259" s="110" t="s">
        <v>121</v>
      </c>
      <c r="F259" s="98">
        <v>42.92</v>
      </c>
      <c r="G259" s="293"/>
      <c r="H259" s="293">
        <f>PRODUCT(A259,F259)</f>
        <v>0</v>
      </c>
      <c r="I259" s="103"/>
    </row>
    <row r="260" spans="1:9" s="266" customFormat="1" hidden="1" outlineLevel="1">
      <c r="A260" s="100">
        <v>0</v>
      </c>
      <c r="C260" s="292" t="s">
        <v>1777</v>
      </c>
      <c r="D260" s="266" t="s">
        <v>1742</v>
      </c>
      <c r="E260" s="110" t="s">
        <v>121</v>
      </c>
      <c r="F260" s="98">
        <v>82.57</v>
      </c>
      <c r="G260" s="293"/>
      <c r="H260" s="293">
        <f>PRODUCT(A260,F260)</f>
        <v>0</v>
      </c>
      <c r="I260" s="103"/>
    </row>
    <row r="261" spans="1:9" s="266" customFormat="1" hidden="1" outlineLevel="1">
      <c r="A261" s="105">
        <v>0</v>
      </c>
      <c r="C261" s="292" t="s">
        <v>1777</v>
      </c>
      <c r="D261" s="100"/>
      <c r="E261" s="266" t="s">
        <v>293</v>
      </c>
      <c r="F261" s="102"/>
      <c r="G261" s="293"/>
      <c r="H261" s="293">
        <f t="shared" ref="H261:H263" si="15">PRODUCT(A261,F261)</f>
        <v>0</v>
      </c>
      <c r="I261" s="103"/>
    </row>
    <row r="262" spans="1:9" s="266" customFormat="1" hidden="1" outlineLevel="1">
      <c r="A262" s="105">
        <v>0</v>
      </c>
      <c r="C262" s="292" t="s">
        <v>1777</v>
      </c>
      <c r="D262" s="100"/>
      <c r="E262" s="266" t="s">
        <v>293</v>
      </c>
      <c r="F262" s="102"/>
      <c r="G262" s="293"/>
      <c r="H262" s="293">
        <f t="shared" si="15"/>
        <v>0</v>
      </c>
      <c r="I262" s="103"/>
    </row>
    <row r="263" spans="1:9" s="266" customFormat="1" hidden="1" outlineLevel="1">
      <c r="A263" s="105">
        <v>0</v>
      </c>
      <c r="C263" s="292" t="s">
        <v>1777</v>
      </c>
      <c r="D263" s="100"/>
      <c r="E263" s="266" t="s">
        <v>293</v>
      </c>
      <c r="F263" s="102"/>
      <c r="G263" s="293"/>
      <c r="H263" s="293">
        <f t="shared" si="15"/>
        <v>0</v>
      </c>
      <c r="I263" s="103"/>
    </row>
    <row r="264" spans="1:9" s="266" customFormat="1" ht="18.75" collapsed="1" thickTop="1">
      <c r="F264" s="280"/>
      <c r="I264" s="295"/>
    </row>
    <row r="265" spans="1:9" ht="18.75" thickBot="1">
      <c r="A265" s="275" t="s">
        <v>1658</v>
      </c>
      <c r="B265" s="276"/>
      <c r="C265" s="276"/>
      <c r="D265" s="276"/>
      <c r="E265" s="276"/>
      <c r="F265" s="276"/>
      <c r="G265" s="299" t="s">
        <v>132</v>
      </c>
      <c r="H265" s="97">
        <f>SUM(H266:H326)</f>
        <v>0</v>
      </c>
      <c r="I265" s="259"/>
    </row>
    <row r="266" spans="1:9" s="266" customFormat="1" ht="18.75" hidden="1" outlineLevel="1" thickTop="1">
      <c r="A266" s="303">
        <f>A270</f>
        <v>0</v>
      </c>
      <c r="C266" s="266" t="s">
        <v>1673</v>
      </c>
      <c r="D266" s="266" t="s">
        <v>1743</v>
      </c>
      <c r="E266" s="110" t="s">
        <v>121</v>
      </c>
      <c r="F266" s="98">
        <v>10.26</v>
      </c>
      <c r="G266" s="293"/>
      <c r="H266" s="293">
        <f t="shared" ref="H266:H326" si="16">PRODUCT(A266,F266)</f>
        <v>0</v>
      </c>
      <c r="I266" s="103" t="s">
        <v>1714</v>
      </c>
    </row>
    <row r="267" spans="1:9" s="266" customFormat="1" hidden="1" outlineLevel="1">
      <c r="A267" s="303">
        <f>A266*4</f>
        <v>0</v>
      </c>
      <c r="C267" s="266" t="s">
        <v>1674</v>
      </c>
      <c r="D267" s="266" t="s">
        <v>1744</v>
      </c>
      <c r="E267" s="110" t="s">
        <v>142</v>
      </c>
      <c r="F267" s="98">
        <v>4.33</v>
      </c>
      <c r="G267" s="293"/>
      <c r="H267" s="293">
        <f t="shared" si="16"/>
        <v>0</v>
      </c>
      <c r="I267" s="103" t="s">
        <v>1714</v>
      </c>
    </row>
    <row r="268" spans="1:9" s="266" customFormat="1" hidden="1" outlineLevel="1">
      <c r="A268" s="303">
        <f>(A269+A274+A275+A276+A277)*1</f>
        <v>0</v>
      </c>
      <c r="C268" s="266" t="s">
        <v>1675</v>
      </c>
      <c r="D268" s="266" t="s">
        <v>1745</v>
      </c>
      <c r="E268" s="110" t="s">
        <v>121</v>
      </c>
      <c r="F268" s="98">
        <v>10.79</v>
      </c>
      <c r="G268" s="293"/>
      <c r="H268" s="293">
        <f t="shared" si="16"/>
        <v>0</v>
      </c>
      <c r="I268" s="103" t="s">
        <v>1714</v>
      </c>
    </row>
    <row r="269" spans="1:9" s="266" customFormat="1" hidden="1" outlineLevel="1">
      <c r="A269" s="105">
        <v>0</v>
      </c>
      <c r="C269" s="266" t="s">
        <v>1672</v>
      </c>
      <c r="D269" s="266" t="s">
        <v>1746</v>
      </c>
      <c r="E269" s="110" t="s">
        <v>121</v>
      </c>
      <c r="F269" s="98">
        <v>9.57</v>
      </c>
      <c r="G269" s="293"/>
      <c r="H269" s="293">
        <f t="shared" si="16"/>
        <v>0</v>
      </c>
      <c r="I269" s="103" t="s">
        <v>1714</v>
      </c>
    </row>
    <row r="270" spans="1:9" s="266" customFormat="1" hidden="1" outlineLevel="1">
      <c r="A270" s="105">
        <v>0</v>
      </c>
      <c r="C270" s="266" t="s">
        <v>1705</v>
      </c>
      <c r="D270" s="266" t="s">
        <v>1747</v>
      </c>
      <c r="E270" s="110" t="s">
        <v>121</v>
      </c>
      <c r="F270" s="98">
        <v>60.59</v>
      </c>
      <c r="G270" s="293"/>
      <c r="H270" s="293">
        <f t="shared" si="16"/>
        <v>0</v>
      </c>
      <c r="I270" s="103" t="s">
        <v>1713</v>
      </c>
    </row>
    <row r="271" spans="1:9" s="266" customFormat="1" hidden="1" outlineLevel="1">
      <c r="A271" s="303">
        <f>A270*1</f>
        <v>0</v>
      </c>
      <c r="C271" s="266" t="s">
        <v>1706</v>
      </c>
      <c r="D271" s="266" t="s">
        <v>1748</v>
      </c>
      <c r="E271" s="110" t="s">
        <v>121</v>
      </c>
      <c r="F271" s="98">
        <v>35.07</v>
      </c>
      <c r="G271" s="293"/>
      <c r="H271" s="293">
        <f t="shared" si="16"/>
        <v>0</v>
      </c>
      <c r="I271" s="103" t="s">
        <v>1713</v>
      </c>
    </row>
    <row r="272" spans="1:9" s="266" customFormat="1" hidden="1" outlineLevel="1">
      <c r="A272" s="105">
        <v>0</v>
      </c>
      <c r="C272" s="266" t="s">
        <v>1707</v>
      </c>
      <c r="D272" s="266" t="s">
        <v>1749</v>
      </c>
      <c r="E272" s="110" t="s">
        <v>121</v>
      </c>
      <c r="F272" s="98">
        <v>46.19</v>
      </c>
      <c r="G272" s="293"/>
      <c r="H272" s="293">
        <f t="shared" si="16"/>
        <v>0</v>
      </c>
      <c r="I272" s="103" t="s">
        <v>1713</v>
      </c>
    </row>
    <row r="273" spans="1:9" s="266" customFormat="1" hidden="1" outlineLevel="1">
      <c r="A273" s="303">
        <f>A272*1</f>
        <v>0</v>
      </c>
      <c r="C273" s="266" t="s">
        <v>1708</v>
      </c>
      <c r="D273" s="266" t="s">
        <v>1750</v>
      </c>
      <c r="E273" s="110" t="s">
        <v>121</v>
      </c>
      <c r="F273" s="98">
        <v>36.46</v>
      </c>
      <c r="G273" s="293"/>
      <c r="H273" s="293">
        <f t="shared" si="16"/>
        <v>0</v>
      </c>
      <c r="I273" s="103" t="s">
        <v>1713</v>
      </c>
    </row>
    <row r="274" spans="1:9" s="266" customFormat="1" hidden="1" outlineLevel="1">
      <c r="A274" s="105">
        <v>0</v>
      </c>
      <c r="C274" s="266" t="s">
        <v>2326</v>
      </c>
      <c r="D274" s="266" t="s">
        <v>2375</v>
      </c>
      <c r="E274" s="110" t="s">
        <v>121</v>
      </c>
      <c r="F274" s="98">
        <v>7.08</v>
      </c>
      <c r="G274" s="293"/>
      <c r="H274" s="293">
        <f t="shared" si="16"/>
        <v>0</v>
      </c>
      <c r="I274" s="100" t="s">
        <v>2371</v>
      </c>
    </row>
    <row r="275" spans="1:9" s="266" customFormat="1" hidden="1" outlineLevel="1">
      <c r="A275" s="105">
        <v>0</v>
      </c>
      <c r="C275" s="266" t="s">
        <v>2327</v>
      </c>
      <c r="D275" s="266" t="s">
        <v>2376</v>
      </c>
      <c r="E275" s="110" t="s">
        <v>121</v>
      </c>
      <c r="F275" s="98">
        <v>7.82</v>
      </c>
      <c r="G275" s="293"/>
      <c r="H275" s="293">
        <f t="shared" si="16"/>
        <v>0</v>
      </c>
      <c r="I275" s="100" t="s">
        <v>2371</v>
      </c>
    </row>
    <row r="276" spans="1:9" s="266" customFormat="1" hidden="1" outlineLevel="1">
      <c r="A276" s="105">
        <v>0</v>
      </c>
      <c r="C276" s="266" t="s">
        <v>2328</v>
      </c>
      <c r="D276" s="266" t="s">
        <v>2377</v>
      </c>
      <c r="E276" s="110" t="s">
        <v>121</v>
      </c>
      <c r="F276" s="98">
        <v>7.77</v>
      </c>
      <c r="G276" s="293"/>
      <c r="H276" s="293">
        <f t="shared" si="16"/>
        <v>0</v>
      </c>
      <c r="I276" s="100" t="s">
        <v>2371</v>
      </c>
    </row>
    <row r="277" spans="1:9" s="266" customFormat="1" hidden="1" outlineLevel="1">
      <c r="A277" s="105">
        <v>0</v>
      </c>
      <c r="C277" s="266" t="s">
        <v>2329</v>
      </c>
      <c r="D277" s="266" t="s">
        <v>2378</v>
      </c>
      <c r="E277" s="110" t="s">
        <v>121</v>
      </c>
      <c r="F277" s="98">
        <v>8.14</v>
      </c>
      <c r="G277" s="293"/>
      <c r="H277" s="293">
        <f t="shared" si="16"/>
        <v>0</v>
      </c>
      <c r="I277" s="100" t="s">
        <v>2371</v>
      </c>
    </row>
    <row r="278" spans="1:9" s="266" customFormat="1" hidden="1" outlineLevel="1">
      <c r="A278" s="105">
        <v>0</v>
      </c>
      <c r="C278" s="266" t="s">
        <v>2330</v>
      </c>
      <c r="D278" s="266" t="s">
        <v>2379</v>
      </c>
      <c r="E278" s="110" t="s">
        <v>121</v>
      </c>
      <c r="F278" s="98">
        <v>20</v>
      </c>
      <c r="G278" s="293"/>
      <c r="H278" s="293">
        <f t="shared" si="16"/>
        <v>0</v>
      </c>
      <c r="I278" s="100" t="s">
        <v>2372</v>
      </c>
    </row>
    <row r="279" spans="1:9" s="266" customFormat="1" hidden="1" outlineLevel="1">
      <c r="A279" s="105">
        <v>0</v>
      </c>
      <c r="C279" s="266" t="s">
        <v>2331</v>
      </c>
      <c r="D279" s="266" t="s">
        <v>2380</v>
      </c>
      <c r="E279" s="110" t="s">
        <v>121</v>
      </c>
      <c r="F279" s="98">
        <v>14.6</v>
      </c>
      <c r="G279" s="293"/>
      <c r="H279" s="293">
        <f t="shared" si="16"/>
        <v>0</v>
      </c>
      <c r="I279" s="100" t="s">
        <v>2373</v>
      </c>
    </row>
    <row r="280" spans="1:9" s="266" customFormat="1" hidden="1" outlineLevel="1">
      <c r="A280" s="105">
        <v>0</v>
      </c>
      <c r="C280" s="266" t="s">
        <v>2332</v>
      </c>
      <c r="D280" s="266" t="s">
        <v>2381</v>
      </c>
      <c r="E280" s="110" t="s">
        <v>121</v>
      </c>
      <c r="F280" s="98">
        <v>16.89</v>
      </c>
      <c r="G280" s="293"/>
      <c r="H280" s="293">
        <f t="shared" si="16"/>
        <v>0</v>
      </c>
      <c r="I280" s="100" t="s">
        <v>2373</v>
      </c>
    </row>
    <row r="281" spans="1:9" s="266" customFormat="1" hidden="1" outlineLevel="1">
      <c r="A281" s="105">
        <v>0</v>
      </c>
      <c r="C281" s="266" t="s">
        <v>2333</v>
      </c>
      <c r="D281" s="266" t="s">
        <v>2382</v>
      </c>
      <c r="E281" s="110" t="s">
        <v>121</v>
      </c>
      <c r="F281" s="98">
        <v>22.04</v>
      </c>
      <c r="G281" s="293"/>
      <c r="H281" s="293">
        <f t="shared" si="16"/>
        <v>0</v>
      </c>
      <c r="I281" s="100" t="s">
        <v>2373</v>
      </c>
    </row>
    <row r="282" spans="1:9" s="266" customFormat="1" hidden="1" outlineLevel="1">
      <c r="A282" s="105">
        <v>0</v>
      </c>
      <c r="C282" s="266" t="s">
        <v>2334</v>
      </c>
      <c r="D282" s="266" t="s">
        <v>2383</v>
      </c>
      <c r="E282" s="110" t="s">
        <v>121</v>
      </c>
      <c r="F282" s="98">
        <v>26.92</v>
      </c>
      <c r="G282" s="293"/>
      <c r="H282" s="293">
        <f t="shared" si="16"/>
        <v>0</v>
      </c>
      <c r="I282" s="100" t="s">
        <v>2373</v>
      </c>
    </row>
    <row r="283" spans="1:9" s="266" customFormat="1" hidden="1" outlineLevel="1">
      <c r="A283" s="105">
        <v>0</v>
      </c>
      <c r="C283" s="266" t="s">
        <v>2335</v>
      </c>
      <c r="D283" s="266" t="s">
        <v>2384</v>
      </c>
      <c r="E283" s="110" t="s">
        <v>121</v>
      </c>
      <c r="F283" s="98">
        <v>34.17</v>
      </c>
      <c r="G283" s="293"/>
      <c r="H283" s="293">
        <f t="shared" si="16"/>
        <v>0</v>
      </c>
      <c r="I283" s="100" t="s">
        <v>2373</v>
      </c>
    </row>
    <row r="284" spans="1:9" s="266" customFormat="1" hidden="1" outlineLevel="1">
      <c r="A284" s="105">
        <v>0</v>
      </c>
      <c r="C284" s="266" t="s">
        <v>2336</v>
      </c>
      <c r="D284" s="266" t="s">
        <v>2385</v>
      </c>
      <c r="E284" s="110" t="s">
        <v>121</v>
      </c>
      <c r="F284" s="98">
        <v>16.29</v>
      </c>
      <c r="G284" s="293"/>
      <c r="H284" s="293">
        <f t="shared" si="16"/>
        <v>0</v>
      </c>
      <c r="I284" s="100" t="s">
        <v>2373</v>
      </c>
    </row>
    <row r="285" spans="1:9" s="266" customFormat="1" hidden="1" outlineLevel="1">
      <c r="A285" s="105">
        <v>0</v>
      </c>
      <c r="C285" s="266" t="s">
        <v>2337</v>
      </c>
      <c r="D285" s="266" t="s">
        <v>2386</v>
      </c>
      <c r="E285" s="110" t="s">
        <v>121</v>
      </c>
      <c r="F285" s="98">
        <v>18.850000000000001</v>
      </c>
      <c r="G285" s="293"/>
      <c r="H285" s="293">
        <f t="shared" si="16"/>
        <v>0</v>
      </c>
      <c r="I285" s="100" t="s">
        <v>2373</v>
      </c>
    </row>
    <row r="286" spans="1:9" s="266" customFormat="1" hidden="1" outlineLevel="1">
      <c r="A286" s="105">
        <v>0</v>
      </c>
      <c r="C286" s="266" t="s">
        <v>2338</v>
      </c>
      <c r="D286" s="266" t="s">
        <v>2387</v>
      </c>
      <c r="E286" s="110" t="s">
        <v>121</v>
      </c>
      <c r="F286" s="98">
        <v>24.48</v>
      </c>
      <c r="G286" s="293"/>
      <c r="H286" s="293">
        <f t="shared" si="16"/>
        <v>0</v>
      </c>
      <c r="I286" s="100" t="s">
        <v>2373</v>
      </c>
    </row>
    <row r="287" spans="1:9" s="266" customFormat="1" hidden="1" outlineLevel="1">
      <c r="A287" s="105">
        <v>0</v>
      </c>
      <c r="C287" s="266" t="s">
        <v>2339</v>
      </c>
      <c r="D287" s="266" t="s">
        <v>2388</v>
      </c>
      <c r="E287" s="110" t="s">
        <v>121</v>
      </c>
      <c r="F287" s="98">
        <v>29.77</v>
      </c>
      <c r="G287" s="293"/>
      <c r="H287" s="293">
        <f t="shared" si="16"/>
        <v>0</v>
      </c>
      <c r="I287" s="100" t="s">
        <v>2373</v>
      </c>
    </row>
    <row r="288" spans="1:9" s="266" customFormat="1" hidden="1" outlineLevel="1">
      <c r="A288" s="105">
        <v>0</v>
      </c>
      <c r="C288" s="266" t="s">
        <v>2340</v>
      </c>
      <c r="D288" s="266" t="s">
        <v>2389</v>
      </c>
      <c r="E288" s="110" t="s">
        <v>121</v>
      </c>
      <c r="F288" s="98">
        <v>13.57</v>
      </c>
      <c r="G288" s="293"/>
      <c r="H288" s="293">
        <f t="shared" si="16"/>
        <v>0</v>
      </c>
      <c r="I288" s="100" t="s">
        <v>2373</v>
      </c>
    </row>
    <row r="289" spans="1:9" s="266" customFormat="1" hidden="1" outlineLevel="1">
      <c r="A289" s="105">
        <v>0</v>
      </c>
      <c r="C289" s="266" t="s">
        <v>2341</v>
      </c>
      <c r="D289" s="266" t="s">
        <v>2390</v>
      </c>
      <c r="E289" s="110" t="s">
        <v>121</v>
      </c>
      <c r="F289" s="98">
        <v>16.89</v>
      </c>
      <c r="G289" s="293"/>
      <c r="H289" s="293">
        <f t="shared" si="16"/>
        <v>0</v>
      </c>
      <c r="I289" s="100" t="s">
        <v>2373</v>
      </c>
    </row>
    <row r="290" spans="1:9" s="266" customFormat="1" hidden="1" outlineLevel="1">
      <c r="A290" s="105">
        <v>0</v>
      </c>
      <c r="C290" s="266" t="s">
        <v>2342</v>
      </c>
      <c r="D290" s="266" t="s">
        <v>2391</v>
      </c>
      <c r="E290" s="110" t="s">
        <v>121</v>
      </c>
      <c r="F290" s="98">
        <v>21.63</v>
      </c>
      <c r="G290" s="293"/>
      <c r="H290" s="293">
        <f t="shared" si="16"/>
        <v>0</v>
      </c>
      <c r="I290" s="100" t="s">
        <v>2373</v>
      </c>
    </row>
    <row r="291" spans="1:9" s="266" customFormat="1" hidden="1" outlineLevel="1">
      <c r="A291" s="105">
        <v>0</v>
      </c>
      <c r="C291" s="266" t="s">
        <v>2343</v>
      </c>
      <c r="D291" s="266" t="s">
        <v>2392</v>
      </c>
      <c r="E291" s="110" t="s">
        <v>121</v>
      </c>
      <c r="F291" s="98">
        <v>26.14</v>
      </c>
      <c r="G291" s="293"/>
      <c r="H291" s="293">
        <f t="shared" si="16"/>
        <v>0</v>
      </c>
      <c r="I291" s="100" t="s">
        <v>2373</v>
      </c>
    </row>
    <row r="292" spans="1:9" s="266" customFormat="1" hidden="1" outlineLevel="1">
      <c r="A292" s="105">
        <v>0</v>
      </c>
      <c r="C292" s="266" t="s">
        <v>2344</v>
      </c>
      <c r="D292" s="266" t="s">
        <v>2393</v>
      </c>
      <c r="E292" s="110" t="s">
        <v>121</v>
      </c>
      <c r="F292" s="98">
        <v>33.65</v>
      </c>
      <c r="G292" s="293"/>
      <c r="H292" s="293">
        <f t="shared" si="16"/>
        <v>0</v>
      </c>
      <c r="I292" s="100" t="s">
        <v>2373</v>
      </c>
    </row>
    <row r="293" spans="1:9" s="266" customFormat="1" hidden="1" outlineLevel="1">
      <c r="A293" s="105">
        <v>0</v>
      </c>
      <c r="C293" s="266" t="s">
        <v>2345</v>
      </c>
      <c r="D293" s="266" t="s">
        <v>2394</v>
      </c>
      <c r="E293" s="110" t="s">
        <v>121</v>
      </c>
      <c r="F293" s="98">
        <v>18.96</v>
      </c>
      <c r="G293" s="293"/>
      <c r="H293" s="293">
        <f t="shared" si="16"/>
        <v>0</v>
      </c>
      <c r="I293" s="100" t="s">
        <v>2374</v>
      </c>
    </row>
    <row r="294" spans="1:9" s="266" customFormat="1" hidden="1" outlineLevel="1">
      <c r="A294" s="105">
        <v>0</v>
      </c>
      <c r="C294" s="266" t="s">
        <v>2346</v>
      </c>
      <c r="D294" s="266" t="s">
        <v>2395</v>
      </c>
      <c r="E294" s="110" t="s">
        <v>121</v>
      </c>
      <c r="F294" s="98">
        <v>22.53</v>
      </c>
      <c r="G294" s="293"/>
      <c r="H294" s="293">
        <f t="shared" si="16"/>
        <v>0</v>
      </c>
      <c r="I294" s="100" t="s">
        <v>2374</v>
      </c>
    </row>
    <row r="295" spans="1:9" s="266" customFormat="1" hidden="1" outlineLevel="1">
      <c r="A295" s="105">
        <v>0</v>
      </c>
      <c r="C295" s="266" t="s">
        <v>2347</v>
      </c>
      <c r="D295" s="266" t="s">
        <v>2396</v>
      </c>
      <c r="E295" s="110" t="s">
        <v>121</v>
      </c>
      <c r="F295" s="98">
        <v>28</v>
      </c>
      <c r="G295" s="293"/>
      <c r="H295" s="293">
        <f t="shared" si="16"/>
        <v>0</v>
      </c>
      <c r="I295" s="100" t="s">
        <v>2374</v>
      </c>
    </row>
    <row r="296" spans="1:9" s="266" customFormat="1" hidden="1" outlineLevel="1">
      <c r="A296" s="105">
        <v>0</v>
      </c>
      <c r="C296" s="266" t="s">
        <v>2348</v>
      </c>
      <c r="D296" s="266" t="s">
        <v>2397</v>
      </c>
      <c r="E296" s="110" t="s">
        <v>121</v>
      </c>
      <c r="F296" s="98">
        <v>29.14</v>
      </c>
      <c r="G296" s="293"/>
      <c r="H296" s="293">
        <f t="shared" si="16"/>
        <v>0</v>
      </c>
      <c r="I296" s="100" t="s">
        <v>2374</v>
      </c>
    </row>
    <row r="297" spans="1:9" s="266" customFormat="1" hidden="1" outlineLevel="1">
      <c r="A297" s="105">
        <v>0</v>
      </c>
      <c r="C297" s="266" t="s">
        <v>2349</v>
      </c>
      <c r="D297" s="266" t="s">
        <v>2398</v>
      </c>
      <c r="E297" s="110" t="s">
        <v>121</v>
      </c>
      <c r="F297" s="98">
        <v>33.869999999999997</v>
      </c>
      <c r="G297" s="293"/>
      <c r="H297" s="293">
        <f t="shared" si="16"/>
        <v>0</v>
      </c>
      <c r="I297" s="100" t="s">
        <v>2374</v>
      </c>
    </row>
    <row r="298" spans="1:9" s="266" customFormat="1" hidden="1" outlineLevel="1">
      <c r="A298" s="105">
        <v>0</v>
      </c>
      <c r="C298" s="266" t="s">
        <v>2350</v>
      </c>
      <c r="D298" s="266" t="s">
        <v>2399</v>
      </c>
      <c r="E298" s="110" t="s">
        <v>121</v>
      </c>
      <c r="F298" s="98">
        <v>23.96</v>
      </c>
      <c r="G298" s="293"/>
      <c r="H298" s="293">
        <f t="shared" si="16"/>
        <v>0</v>
      </c>
      <c r="I298" s="100" t="s">
        <v>2374</v>
      </c>
    </row>
    <row r="299" spans="1:9" s="266" customFormat="1" hidden="1" outlineLevel="1">
      <c r="A299" s="105">
        <v>0</v>
      </c>
      <c r="C299" s="266" t="s">
        <v>2351</v>
      </c>
      <c r="D299" s="266" t="s">
        <v>2400</v>
      </c>
      <c r="E299" s="110" t="s">
        <v>121</v>
      </c>
      <c r="F299" s="98">
        <v>33.5</v>
      </c>
      <c r="G299" s="293"/>
      <c r="H299" s="293">
        <f t="shared" si="16"/>
        <v>0</v>
      </c>
      <c r="I299" s="100" t="s">
        <v>2374</v>
      </c>
    </row>
    <row r="300" spans="1:9" s="266" customFormat="1" hidden="1" outlineLevel="1">
      <c r="A300" s="105">
        <v>0</v>
      </c>
      <c r="C300" s="266" t="s">
        <v>2352</v>
      </c>
      <c r="D300" s="266" t="s">
        <v>2401</v>
      </c>
      <c r="E300" s="110" t="s">
        <v>121</v>
      </c>
      <c r="F300" s="98">
        <v>40.65</v>
      </c>
      <c r="G300" s="293"/>
      <c r="H300" s="293">
        <f t="shared" si="16"/>
        <v>0</v>
      </c>
      <c r="I300" s="100" t="s">
        <v>2374</v>
      </c>
    </row>
    <row r="301" spans="1:9" s="266" customFormat="1" hidden="1" outlineLevel="1">
      <c r="A301" s="105">
        <v>0</v>
      </c>
      <c r="C301" s="292" t="s">
        <v>1776</v>
      </c>
      <c r="D301" s="266" t="s">
        <v>2353</v>
      </c>
      <c r="E301" s="110" t="s">
        <v>121</v>
      </c>
      <c r="F301" s="98">
        <v>28.5</v>
      </c>
      <c r="G301" s="293"/>
      <c r="H301" s="293">
        <f t="shared" si="16"/>
        <v>0</v>
      </c>
      <c r="I301" s="103" t="s">
        <v>2369</v>
      </c>
    </row>
    <row r="302" spans="1:9" s="266" customFormat="1" hidden="1" outlineLevel="1">
      <c r="A302" s="105">
        <v>0</v>
      </c>
      <c r="C302" s="292" t="s">
        <v>1776</v>
      </c>
      <c r="D302" s="266" t="s">
        <v>2354</v>
      </c>
      <c r="E302" s="110" t="s">
        <v>121</v>
      </c>
      <c r="F302" s="98">
        <v>31</v>
      </c>
      <c r="G302" s="293"/>
      <c r="H302" s="293">
        <f t="shared" si="16"/>
        <v>0</v>
      </c>
      <c r="I302" s="103" t="s">
        <v>2369</v>
      </c>
    </row>
    <row r="303" spans="1:9" s="266" customFormat="1" hidden="1" outlineLevel="1">
      <c r="A303" s="105">
        <v>0</v>
      </c>
      <c r="C303" s="292" t="s">
        <v>1776</v>
      </c>
      <c r="D303" s="266" t="s">
        <v>2355</v>
      </c>
      <c r="E303" s="110" t="s">
        <v>121</v>
      </c>
      <c r="F303" s="98">
        <v>35.5</v>
      </c>
      <c r="G303" s="293"/>
      <c r="H303" s="293">
        <f t="shared" si="16"/>
        <v>0</v>
      </c>
      <c r="I303" s="103" t="s">
        <v>2369</v>
      </c>
    </row>
    <row r="304" spans="1:9" s="266" customFormat="1" hidden="1" outlineLevel="1">
      <c r="A304" s="105">
        <v>0</v>
      </c>
      <c r="C304" s="292" t="s">
        <v>1776</v>
      </c>
      <c r="D304" s="266" t="s">
        <v>2356</v>
      </c>
      <c r="E304" s="110" t="s">
        <v>121</v>
      </c>
      <c r="F304" s="98">
        <v>42.5</v>
      </c>
      <c r="G304" s="293"/>
      <c r="H304" s="293">
        <f t="shared" si="16"/>
        <v>0</v>
      </c>
      <c r="I304" s="103" t="s">
        <v>2369</v>
      </c>
    </row>
    <row r="305" spans="1:9" s="266" customFormat="1" hidden="1" outlineLevel="1">
      <c r="A305" s="105">
        <v>0</v>
      </c>
      <c r="C305" s="292" t="s">
        <v>1776</v>
      </c>
      <c r="D305" s="266" t="s">
        <v>2357</v>
      </c>
      <c r="E305" s="110" t="s">
        <v>121</v>
      </c>
      <c r="F305" s="98">
        <v>49.5</v>
      </c>
      <c r="G305" s="293"/>
      <c r="H305" s="293">
        <f t="shared" si="16"/>
        <v>0</v>
      </c>
      <c r="I305" s="103" t="s">
        <v>2369</v>
      </c>
    </row>
    <row r="306" spans="1:9" s="266" customFormat="1" hidden="1" outlineLevel="1">
      <c r="A306" s="105">
        <v>0</v>
      </c>
      <c r="C306" s="292" t="s">
        <v>1776</v>
      </c>
      <c r="D306" s="266" t="s">
        <v>2358</v>
      </c>
      <c r="E306" s="110" t="s">
        <v>121</v>
      </c>
      <c r="F306" s="98">
        <v>58</v>
      </c>
      <c r="G306" s="293"/>
      <c r="H306" s="293">
        <f t="shared" si="16"/>
        <v>0</v>
      </c>
      <c r="I306" s="103" t="s">
        <v>2369</v>
      </c>
    </row>
    <row r="307" spans="1:9" s="266" customFormat="1" hidden="1" outlineLevel="1">
      <c r="A307" s="105">
        <v>0</v>
      </c>
      <c r="C307" s="292" t="s">
        <v>1776</v>
      </c>
      <c r="D307" s="266" t="s">
        <v>2359</v>
      </c>
      <c r="E307" s="110" t="s">
        <v>121</v>
      </c>
      <c r="F307" s="98">
        <v>67</v>
      </c>
      <c r="G307" s="293"/>
      <c r="H307" s="293">
        <f t="shared" si="16"/>
        <v>0</v>
      </c>
      <c r="I307" s="103" t="s">
        <v>2369</v>
      </c>
    </row>
    <row r="308" spans="1:9" s="266" customFormat="1" hidden="1" outlineLevel="1">
      <c r="A308" s="105">
        <v>0</v>
      </c>
      <c r="C308" s="292" t="s">
        <v>1776</v>
      </c>
      <c r="D308" s="266" t="s">
        <v>2360</v>
      </c>
      <c r="E308" s="110" t="s">
        <v>121</v>
      </c>
      <c r="F308" s="98">
        <v>82</v>
      </c>
      <c r="G308" s="293"/>
      <c r="H308" s="293">
        <f t="shared" si="16"/>
        <v>0</v>
      </c>
      <c r="I308" s="103" t="s">
        <v>2369</v>
      </c>
    </row>
    <row r="309" spans="1:9" s="266" customFormat="1" hidden="1" outlineLevel="1">
      <c r="A309" s="105">
        <v>0</v>
      </c>
      <c r="C309" s="292" t="s">
        <v>1776</v>
      </c>
      <c r="D309" s="266" t="s">
        <v>2361</v>
      </c>
      <c r="E309" s="110" t="s">
        <v>121</v>
      </c>
      <c r="F309" s="98">
        <v>31</v>
      </c>
      <c r="G309" s="293"/>
      <c r="H309" s="293">
        <f t="shared" si="16"/>
        <v>0</v>
      </c>
      <c r="I309" s="103" t="s">
        <v>2370</v>
      </c>
    </row>
    <row r="310" spans="1:9" s="266" customFormat="1" hidden="1" outlineLevel="1">
      <c r="A310" s="105">
        <v>0</v>
      </c>
      <c r="C310" s="292" t="s">
        <v>1776</v>
      </c>
      <c r="D310" s="266" t="s">
        <v>2362</v>
      </c>
      <c r="E310" s="110" t="s">
        <v>121</v>
      </c>
      <c r="F310" s="98">
        <v>35</v>
      </c>
      <c r="G310" s="293"/>
      <c r="H310" s="293">
        <f t="shared" si="16"/>
        <v>0</v>
      </c>
      <c r="I310" s="103" t="s">
        <v>2370</v>
      </c>
    </row>
    <row r="311" spans="1:9" s="266" customFormat="1" hidden="1" outlineLevel="1">
      <c r="A311" s="105">
        <v>0</v>
      </c>
      <c r="C311" s="292" t="s">
        <v>1776</v>
      </c>
      <c r="D311" s="266" t="s">
        <v>2363</v>
      </c>
      <c r="E311" s="110" t="s">
        <v>121</v>
      </c>
      <c r="F311" s="98">
        <v>38.5</v>
      </c>
      <c r="G311" s="293"/>
      <c r="H311" s="293">
        <f t="shared" si="16"/>
        <v>0</v>
      </c>
      <c r="I311" s="103" t="s">
        <v>2370</v>
      </c>
    </row>
    <row r="312" spans="1:9" s="266" customFormat="1" hidden="1" outlineLevel="1">
      <c r="A312" s="105">
        <v>0</v>
      </c>
      <c r="C312" s="292" t="s">
        <v>1776</v>
      </c>
      <c r="D312" s="266" t="s">
        <v>2364</v>
      </c>
      <c r="E312" s="110" t="s">
        <v>121</v>
      </c>
      <c r="F312" s="98">
        <v>46</v>
      </c>
      <c r="G312" s="293"/>
      <c r="H312" s="293">
        <f t="shared" si="16"/>
        <v>0</v>
      </c>
      <c r="I312" s="103" t="s">
        <v>2370</v>
      </c>
    </row>
    <row r="313" spans="1:9" s="266" customFormat="1" hidden="1" outlineLevel="1">
      <c r="A313" s="105">
        <v>0</v>
      </c>
      <c r="C313" s="292" t="s">
        <v>1776</v>
      </c>
      <c r="D313" s="266" t="s">
        <v>2365</v>
      </c>
      <c r="E313" s="110" t="s">
        <v>121</v>
      </c>
      <c r="F313" s="98">
        <v>54</v>
      </c>
      <c r="G313" s="293"/>
      <c r="H313" s="293">
        <f t="shared" si="16"/>
        <v>0</v>
      </c>
      <c r="I313" s="103" t="s">
        <v>2370</v>
      </c>
    </row>
    <row r="314" spans="1:9" s="266" customFormat="1" hidden="1" outlineLevel="1">
      <c r="A314" s="105">
        <v>0</v>
      </c>
      <c r="C314" s="292" t="s">
        <v>1776</v>
      </c>
      <c r="D314" s="266" t="s">
        <v>2366</v>
      </c>
      <c r="E314" s="110" t="s">
        <v>121</v>
      </c>
      <c r="F314" s="98">
        <v>63</v>
      </c>
      <c r="G314" s="293"/>
      <c r="H314" s="293">
        <f t="shared" si="16"/>
        <v>0</v>
      </c>
      <c r="I314" s="103" t="s">
        <v>2370</v>
      </c>
    </row>
    <row r="315" spans="1:9" s="266" customFormat="1" hidden="1" outlineLevel="1">
      <c r="A315" s="105">
        <v>0</v>
      </c>
      <c r="C315" s="292" t="s">
        <v>1776</v>
      </c>
      <c r="D315" s="266" t="s">
        <v>2367</v>
      </c>
      <c r="E315" s="110" t="s">
        <v>121</v>
      </c>
      <c r="F315" s="98">
        <v>70</v>
      </c>
      <c r="G315" s="293"/>
      <c r="H315" s="293">
        <f t="shared" si="16"/>
        <v>0</v>
      </c>
      <c r="I315" s="103" t="s">
        <v>2370</v>
      </c>
    </row>
    <row r="316" spans="1:9" s="266" customFormat="1" hidden="1" outlineLevel="1">
      <c r="A316" s="105">
        <v>0</v>
      </c>
      <c r="C316" s="292" t="s">
        <v>1776</v>
      </c>
      <c r="D316" s="266" t="s">
        <v>2368</v>
      </c>
      <c r="E316" s="110" t="s">
        <v>121</v>
      </c>
      <c r="F316" s="98">
        <v>85</v>
      </c>
      <c r="G316" s="293"/>
      <c r="H316" s="293">
        <f t="shared" si="16"/>
        <v>0</v>
      </c>
      <c r="I316" s="103" t="s">
        <v>2370</v>
      </c>
    </row>
    <row r="317" spans="1:9" s="266" customFormat="1" hidden="1" outlineLevel="1">
      <c r="A317" s="105">
        <v>0</v>
      </c>
      <c r="C317" s="292" t="s">
        <v>1776</v>
      </c>
      <c r="D317" s="100"/>
      <c r="E317" s="266" t="s">
        <v>293</v>
      </c>
      <c r="F317" s="102"/>
      <c r="G317" s="293"/>
      <c r="H317" s="293">
        <f t="shared" si="16"/>
        <v>0</v>
      </c>
      <c r="I317" s="103"/>
    </row>
    <row r="318" spans="1:9" s="266" customFormat="1" hidden="1" outlineLevel="1">
      <c r="A318" s="105">
        <v>0</v>
      </c>
      <c r="C318" s="292" t="s">
        <v>1776</v>
      </c>
      <c r="D318" s="100"/>
      <c r="E318" s="266" t="s">
        <v>293</v>
      </c>
      <c r="F318" s="102"/>
      <c r="G318" s="293"/>
      <c r="H318" s="293">
        <f t="shared" si="16"/>
        <v>0</v>
      </c>
      <c r="I318" s="103"/>
    </row>
    <row r="319" spans="1:9" s="266" customFormat="1" hidden="1" outlineLevel="1">
      <c r="A319" s="105">
        <v>0</v>
      </c>
      <c r="C319" s="292" t="s">
        <v>1776</v>
      </c>
      <c r="D319" s="100"/>
      <c r="E319" s="266" t="s">
        <v>293</v>
      </c>
      <c r="F319" s="102"/>
      <c r="G319" s="293"/>
      <c r="H319" s="293">
        <f t="shared" si="16"/>
        <v>0</v>
      </c>
      <c r="I319" s="103"/>
    </row>
    <row r="320" spans="1:9" s="266" customFormat="1" hidden="1" outlineLevel="1">
      <c r="A320" s="105">
        <v>0</v>
      </c>
      <c r="C320" s="292" t="s">
        <v>1776</v>
      </c>
      <c r="D320" s="100"/>
      <c r="E320" s="266" t="s">
        <v>293</v>
      </c>
      <c r="F320" s="102"/>
      <c r="G320" s="293"/>
      <c r="H320" s="293">
        <f t="shared" si="16"/>
        <v>0</v>
      </c>
      <c r="I320" s="103"/>
    </row>
    <row r="321" spans="1:9" s="266" customFormat="1" hidden="1" outlineLevel="1">
      <c r="A321" s="105">
        <v>0</v>
      </c>
      <c r="C321" s="292" t="s">
        <v>1776</v>
      </c>
      <c r="D321" s="100"/>
      <c r="E321" s="266" t="s">
        <v>293</v>
      </c>
      <c r="F321" s="102"/>
      <c r="G321" s="293"/>
      <c r="H321" s="293">
        <f t="shared" si="16"/>
        <v>0</v>
      </c>
      <c r="I321" s="103"/>
    </row>
    <row r="322" spans="1:9" s="266" customFormat="1" hidden="1" outlineLevel="1">
      <c r="A322" s="105">
        <v>0</v>
      </c>
      <c r="C322" s="292" t="s">
        <v>1776</v>
      </c>
      <c r="D322" s="100"/>
      <c r="E322" s="266" t="s">
        <v>293</v>
      </c>
      <c r="F322" s="102"/>
      <c r="G322" s="293"/>
      <c r="H322" s="293">
        <f t="shared" si="16"/>
        <v>0</v>
      </c>
      <c r="I322" s="103"/>
    </row>
    <row r="323" spans="1:9" s="266" customFormat="1" hidden="1" outlineLevel="1">
      <c r="A323" s="105">
        <v>0</v>
      </c>
      <c r="C323" s="292" t="s">
        <v>1776</v>
      </c>
      <c r="D323" s="100"/>
      <c r="E323" s="266" t="s">
        <v>293</v>
      </c>
      <c r="F323" s="102"/>
      <c r="G323" s="293"/>
      <c r="H323" s="293">
        <f t="shared" si="16"/>
        <v>0</v>
      </c>
      <c r="I323" s="103"/>
    </row>
    <row r="324" spans="1:9" s="266" customFormat="1" hidden="1" outlineLevel="1">
      <c r="A324" s="105">
        <v>0</v>
      </c>
      <c r="C324" s="292" t="s">
        <v>1776</v>
      </c>
      <c r="D324" s="100"/>
      <c r="E324" s="266" t="s">
        <v>293</v>
      </c>
      <c r="F324" s="102"/>
      <c r="G324" s="293"/>
      <c r="H324" s="293">
        <f t="shared" si="16"/>
        <v>0</v>
      </c>
      <c r="I324" s="103"/>
    </row>
    <row r="325" spans="1:9" s="266" customFormat="1" hidden="1" outlineLevel="1">
      <c r="A325" s="105">
        <v>0</v>
      </c>
      <c r="C325" s="292" t="s">
        <v>1776</v>
      </c>
      <c r="D325" s="100"/>
      <c r="E325" s="266" t="s">
        <v>293</v>
      </c>
      <c r="F325" s="102"/>
      <c r="G325" s="293"/>
      <c r="H325" s="293">
        <f t="shared" si="16"/>
        <v>0</v>
      </c>
      <c r="I325" s="103"/>
    </row>
    <row r="326" spans="1:9" s="266" customFormat="1" hidden="1" outlineLevel="1">
      <c r="A326" s="105">
        <v>0</v>
      </c>
      <c r="C326" s="292" t="s">
        <v>1776</v>
      </c>
      <c r="D326" s="100"/>
      <c r="E326" s="266" t="s">
        <v>293</v>
      </c>
      <c r="F326" s="102"/>
      <c r="G326" s="293"/>
      <c r="H326" s="293">
        <f t="shared" si="16"/>
        <v>0</v>
      </c>
      <c r="I326" s="103"/>
    </row>
    <row r="327" spans="1:9" ht="19.5" collapsed="1" thickTop="1" thickBot="1">
      <c r="H327" s="286"/>
    </row>
    <row r="328" spans="1:9" ht="18.75" thickBot="1">
      <c r="A328" s="413" t="s">
        <v>273</v>
      </c>
      <c r="B328" s="414"/>
      <c r="C328" s="414"/>
      <c r="D328" s="414"/>
      <c r="E328" s="414"/>
      <c r="F328" s="414"/>
      <c r="G328" s="414"/>
      <c r="H328" s="414"/>
      <c r="I328" s="415"/>
    </row>
    <row r="329" spans="1:9">
      <c r="A329" s="281"/>
      <c r="B329" s="281" t="s">
        <v>1759</v>
      </c>
      <c r="C329" s="281" t="s">
        <v>1758</v>
      </c>
      <c r="D329" s="281"/>
      <c r="E329" s="281"/>
      <c r="F329" s="281"/>
      <c r="G329" s="281"/>
      <c r="H329" s="281"/>
      <c r="I329" s="281"/>
    </row>
    <row r="330" spans="1:9">
      <c r="A330" s="304">
        <f>ROUNDUP(SUM(B331:B332),0)</f>
        <v>0</v>
      </c>
      <c r="B330" s="416" t="s">
        <v>274</v>
      </c>
      <c r="C330" s="416"/>
      <c r="D330" s="281"/>
      <c r="E330" s="305" t="s">
        <v>1760</v>
      </c>
      <c r="F330" s="293">
        <f>'Quotation sheet'!M21</f>
        <v>158</v>
      </c>
      <c r="G330" s="293"/>
      <c r="H330" s="293">
        <f>PRODUCT(A330,F330)</f>
        <v>0</v>
      </c>
      <c r="I330" s="103"/>
    </row>
    <row r="331" spans="1:9">
      <c r="A331" s="266"/>
      <c r="B331" s="261">
        <v>0</v>
      </c>
      <c r="C331" s="306">
        <v>0</v>
      </c>
      <c r="D331" s="266" t="s">
        <v>275</v>
      </c>
      <c r="E331" s="281"/>
      <c r="F331" s="293"/>
      <c r="G331" s="293"/>
      <c r="H331" s="293"/>
      <c r="I331" s="103"/>
    </row>
    <row r="332" spans="1:9">
      <c r="A332" s="266"/>
      <c r="B332" s="261">
        <v>0</v>
      </c>
      <c r="C332" s="294">
        <v>0</v>
      </c>
      <c r="D332" s="266" t="s">
        <v>276</v>
      </c>
      <c r="E332" s="281"/>
      <c r="F332" s="293"/>
      <c r="G332" s="293"/>
      <c r="H332" s="293"/>
      <c r="I332" s="103"/>
    </row>
    <row r="333" spans="1:9">
      <c r="A333" s="304">
        <f>ROUNDUP(SUM(B334:B335),0)</f>
        <v>0</v>
      </c>
      <c r="B333" s="416" t="s">
        <v>277</v>
      </c>
      <c r="C333" s="416"/>
      <c r="D333" s="281"/>
      <c r="E333" s="305" t="s">
        <v>1760</v>
      </c>
      <c r="F333" s="293">
        <f>'Quotation sheet'!M22</f>
        <v>112</v>
      </c>
      <c r="G333" s="293"/>
      <c r="H333" s="293">
        <f>PRODUCT(A333,F333)</f>
        <v>0</v>
      </c>
      <c r="I333" s="103"/>
    </row>
    <row r="334" spans="1:9">
      <c r="A334" s="266"/>
      <c r="B334" s="261">
        <v>0</v>
      </c>
      <c r="C334" s="294">
        <v>0</v>
      </c>
      <c r="D334" s="266" t="s">
        <v>275</v>
      </c>
      <c r="E334" s="281"/>
      <c r="F334" s="293"/>
      <c r="G334" s="293"/>
      <c r="H334" s="293"/>
      <c r="I334" s="103"/>
    </row>
    <row r="335" spans="1:9">
      <c r="A335" s="266"/>
      <c r="B335" s="261">
        <v>0</v>
      </c>
      <c r="C335" s="294">
        <v>0</v>
      </c>
      <c r="D335" s="266" t="s">
        <v>276</v>
      </c>
      <c r="E335" s="281"/>
      <c r="F335" s="293"/>
      <c r="G335" s="293"/>
      <c r="H335" s="293"/>
      <c r="I335" s="103"/>
    </row>
    <row r="336" spans="1:9">
      <c r="A336" s="304">
        <f>ROUNDUP(SUM(B337:B338),0)</f>
        <v>0</v>
      </c>
      <c r="B336" s="416" t="s">
        <v>278</v>
      </c>
      <c r="C336" s="416"/>
      <c r="D336" s="281"/>
      <c r="E336" s="305" t="s">
        <v>1760</v>
      </c>
      <c r="F336" s="293">
        <f>'Quotation sheet'!M23</f>
        <v>93</v>
      </c>
      <c r="G336" s="293"/>
      <c r="H336" s="293">
        <f>PRODUCT(A336,F336)</f>
        <v>0</v>
      </c>
      <c r="I336" s="103"/>
    </row>
    <row r="337" spans="1:9">
      <c r="A337" s="266"/>
      <c r="B337" s="261">
        <v>0</v>
      </c>
      <c r="C337" s="294">
        <v>0</v>
      </c>
      <c r="D337" s="266" t="s">
        <v>275</v>
      </c>
      <c r="E337" s="281"/>
      <c r="F337" s="293"/>
      <c r="G337" s="293"/>
      <c r="H337" s="293"/>
      <c r="I337" s="103"/>
    </row>
    <row r="338" spans="1:9">
      <c r="A338" s="266"/>
      <c r="B338" s="261">
        <v>0</v>
      </c>
      <c r="C338" s="294">
        <v>0</v>
      </c>
      <c r="D338" s="266" t="s">
        <v>276</v>
      </c>
      <c r="E338" s="281"/>
      <c r="F338" s="293"/>
      <c r="G338" s="293"/>
      <c r="H338" s="293"/>
      <c r="I338" s="103"/>
    </row>
    <row r="339" spans="1:9">
      <c r="A339" s="304">
        <f>ROUNDUP(SUM(B340:B341),0)</f>
        <v>0</v>
      </c>
      <c r="B339" s="416" t="s">
        <v>2323</v>
      </c>
      <c r="C339" s="416"/>
      <c r="D339" s="281"/>
      <c r="E339" s="305" t="s">
        <v>1760</v>
      </c>
      <c r="F339" s="293">
        <v>112</v>
      </c>
      <c r="G339" s="293"/>
      <c r="H339" s="293">
        <f>PRODUCT(A339,F339)</f>
        <v>0</v>
      </c>
      <c r="I339" s="103"/>
    </row>
    <row r="340" spans="1:9">
      <c r="A340" s="266"/>
      <c r="B340" s="261">
        <v>0</v>
      </c>
      <c r="C340" s="294">
        <v>0</v>
      </c>
      <c r="D340" s="266" t="s">
        <v>275</v>
      </c>
      <c r="E340" s="281"/>
      <c r="F340" s="293"/>
      <c r="G340" s="293"/>
      <c r="H340" s="293"/>
      <c r="I340" s="103"/>
    </row>
    <row r="341" spans="1:9">
      <c r="A341" s="266"/>
      <c r="B341" s="261">
        <v>0</v>
      </c>
      <c r="C341" s="294">
        <v>0</v>
      </c>
      <c r="D341" s="266" t="s">
        <v>276</v>
      </c>
      <c r="E341" s="281"/>
      <c r="F341" s="293"/>
      <c r="G341" s="293"/>
      <c r="H341" s="293"/>
      <c r="I341" s="103"/>
    </row>
    <row r="342" spans="1:9">
      <c r="A342" s="266"/>
      <c r="D342" s="281"/>
      <c r="E342" s="281"/>
      <c r="F342" s="293"/>
      <c r="G342" s="293"/>
      <c r="H342" s="293"/>
      <c r="I342" s="286"/>
    </row>
    <row r="343" spans="1:9">
      <c r="A343" s="304">
        <f>ROUNDUP(SUM(B344:B353)* IF(B7="Makkelijk", 0.8, IF(B7="Standaard", 1, IF(B7="Moeilijk", 1.2, 1)))+B354,0)</f>
        <v>0</v>
      </c>
      <c r="B343" s="416" t="s">
        <v>279</v>
      </c>
      <c r="C343" s="416"/>
      <c r="D343" s="281"/>
      <c r="E343" s="305" t="s">
        <v>1760</v>
      </c>
      <c r="F343" s="293">
        <f>'Quotation sheet'!M25</f>
        <v>81</v>
      </c>
      <c r="G343" s="293"/>
      <c r="H343" s="293">
        <f>PRODUCT(A343,F343)</f>
        <v>0</v>
      </c>
      <c r="I343" s="103"/>
    </row>
    <row r="344" spans="1:9">
      <c r="A344" s="266"/>
      <c r="B344" s="261">
        <f>IF($A$31&lt;&gt;0,8,0)</f>
        <v>0</v>
      </c>
      <c r="C344" s="294">
        <f>IF($A$31&lt;&gt;0,8,0)</f>
        <v>0</v>
      </c>
      <c r="D344" s="266" t="s">
        <v>280</v>
      </c>
      <c r="E344" s="266"/>
      <c r="F344" s="293"/>
      <c r="G344" s="293"/>
      <c r="H344" s="293"/>
      <c r="I344" s="103"/>
    </row>
    <row r="345" spans="1:9">
      <c r="A345" s="266"/>
      <c r="B345" s="261">
        <f>$B$12*8</f>
        <v>0</v>
      </c>
      <c r="C345" s="294">
        <f>$B$12*8</f>
        <v>0</v>
      </c>
      <c r="D345" s="266" t="s">
        <v>1817</v>
      </c>
      <c r="E345" s="266"/>
      <c r="F345" s="293"/>
      <c r="G345" s="293"/>
      <c r="H345" s="293"/>
      <c r="I345" s="103"/>
    </row>
    <row r="346" spans="1:9">
      <c r="A346" s="266"/>
      <c r="B346" s="261">
        <v>0</v>
      </c>
      <c r="C346" s="294">
        <v>0</v>
      </c>
      <c r="D346" s="266" t="s">
        <v>1818</v>
      </c>
      <c r="E346" s="266"/>
      <c r="F346" s="293"/>
      <c r="G346" s="293"/>
      <c r="H346" s="293"/>
      <c r="I346" s="103"/>
    </row>
    <row r="347" spans="1:9">
      <c r="A347" s="266"/>
      <c r="B347" s="261">
        <v>0</v>
      </c>
      <c r="C347" s="294">
        <v>0</v>
      </c>
      <c r="D347" s="266" t="s">
        <v>281</v>
      </c>
      <c r="E347" s="266"/>
      <c r="F347" s="293"/>
      <c r="G347" s="293"/>
      <c r="H347" s="293"/>
      <c r="I347" s="103"/>
    </row>
    <row r="348" spans="1:9">
      <c r="A348" s="266"/>
      <c r="B348" s="261">
        <v>0</v>
      </c>
      <c r="C348" s="294">
        <v>0</v>
      </c>
      <c r="D348" s="266" t="s">
        <v>1762</v>
      </c>
      <c r="E348" s="266"/>
      <c r="F348" s="293"/>
      <c r="G348" s="293"/>
      <c r="H348" s="293"/>
      <c r="I348" s="103"/>
    </row>
    <row r="349" spans="1:9">
      <c r="A349" s="266"/>
      <c r="B349" s="261">
        <v>0</v>
      </c>
      <c r="C349" s="294">
        <v>0</v>
      </c>
      <c r="D349" s="266" t="s">
        <v>1763</v>
      </c>
      <c r="E349" s="266"/>
      <c r="F349" s="293"/>
      <c r="G349" s="293"/>
      <c r="H349" s="293"/>
      <c r="I349" s="103"/>
    </row>
    <row r="350" spans="1:9">
      <c r="A350" s="266"/>
      <c r="B350" s="261">
        <v>0</v>
      </c>
      <c r="C350" s="294">
        <v>0</v>
      </c>
      <c r="D350" s="266" t="s">
        <v>1764</v>
      </c>
      <c r="E350" s="266"/>
      <c r="F350" s="293"/>
      <c r="G350" s="293"/>
      <c r="H350" s="293"/>
      <c r="I350" s="103"/>
    </row>
    <row r="351" spans="1:9">
      <c r="A351" s="266"/>
      <c r="B351" s="261">
        <v>0</v>
      </c>
      <c r="C351" s="294">
        <v>0</v>
      </c>
      <c r="D351" s="100"/>
      <c r="E351" s="266"/>
      <c r="F351" s="293"/>
      <c r="G351" s="293"/>
      <c r="H351" s="293"/>
      <c r="I351" s="103"/>
    </row>
    <row r="352" spans="1:9">
      <c r="A352" s="266"/>
      <c r="B352" s="261">
        <v>0</v>
      </c>
      <c r="C352" s="294">
        <v>0</v>
      </c>
      <c r="D352" s="100"/>
      <c r="E352" s="266"/>
      <c r="F352" s="293"/>
      <c r="G352" s="293"/>
      <c r="H352" s="293"/>
      <c r="I352" s="103"/>
    </row>
    <row r="353" spans="1:9">
      <c r="A353" s="266"/>
      <c r="B353" s="261">
        <v>0</v>
      </c>
      <c r="C353" s="294">
        <v>0</v>
      </c>
      <c r="D353" s="100"/>
      <c r="E353" s="266"/>
      <c r="F353" s="293"/>
      <c r="G353" s="293"/>
      <c r="H353" s="293"/>
      <c r="I353" s="103"/>
    </row>
    <row r="354" spans="1:9">
      <c r="A354" s="266"/>
      <c r="B354" s="261">
        <f>CEILING((SUM($B$344:$B$353)/8)*$B$8,$B$8)</f>
        <v>0</v>
      </c>
      <c r="C354" s="294">
        <f>CEILING((SUM($C$344:$C$353)/8)*$B$8,$B$8)</f>
        <v>0</v>
      </c>
      <c r="D354" s="266" t="s">
        <v>276</v>
      </c>
      <c r="E354" s="266"/>
      <c r="F354" s="293"/>
      <c r="G354" s="293"/>
      <c r="H354" s="293"/>
      <c r="I354" s="103"/>
    </row>
    <row r="355" spans="1:9">
      <c r="A355" s="266"/>
      <c r="C355" s="266"/>
      <c r="D355" s="266"/>
      <c r="E355" s="266"/>
      <c r="F355" s="293"/>
      <c r="G355" s="293"/>
      <c r="H355" s="293"/>
      <c r="I355" s="286"/>
    </row>
    <row r="356" spans="1:9">
      <c r="A356" s="304">
        <f>ROUNDUP(SUM($B$357:$B$374)* IF($B$7="Makkelijk", 0.8, IF($B$7="Standaard", 1, IF($B$7="Moeilijk", 1.2, 1)))+$B$375,0)</f>
        <v>0</v>
      </c>
      <c r="B356" s="416" t="s">
        <v>282</v>
      </c>
      <c r="C356" s="416"/>
      <c r="D356" s="266"/>
      <c r="E356" s="305" t="s">
        <v>1760</v>
      </c>
      <c r="F356" s="293">
        <f>'Quotation sheet'!M26</f>
        <v>69</v>
      </c>
      <c r="G356" s="293"/>
      <c r="H356" s="293">
        <f>PRODUCT(A356,F356)</f>
        <v>0</v>
      </c>
      <c r="I356" s="103"/>
    </row>
    <row r="357" spans="1:9">
      <c r="A357" s="266"/>
      <c r="B357" s="261">
        <f>IF($B$12=1,12,IF($B$12&gt;1,8*$B$12,0))</f>
        <v>0</v>
      </c>
      <c r="C357" s="294">
        <f>IF($B$12=1,12,IF($B$12&gt;1,8*$B$12,0))</f>
        <v>0</v>
      </c>
      <c r="D357" s="266" t="s">
        <v>1793</v>
      </c>
      <c r="E357" s="266"/>
      <c r="F357" s="280"/>
      <c r="G357" s="281"/>
      <c r="H357" s="273"/>
      <c r="I357" s="103"/>
    </row>
    <row r="358" spans="1:9">
      <c r="A358" s="266"/>
      <c r="B358" s="261">
        <f>$B$13*8</f>
        <v>0</v>
      </c>
      <c r="C358" s="294">
        <f>$B$13*8</f>
        <v>0</v>
      </c>
      <c r="D358" s="266" t="s">
        <v>1792</v>
      </c>
      <c r="E358" s="266"/>
      <c r="F358" s="280"/>
      <c r="G358" s="281"/>
      <c r="H358" s="273"/>
      <c r="I358" s="103"/>
    </row>
    <row r="359" spans="1:9">
      <c r="A359" s="266"/>
      <c r="B359" s="261">
        <f>$B$5*8</f>
        <v>0</v>
      </c>
      <c r="C359" s="294">
        <f>$B$5*8</f>
        <v>0</v>
      </c>
      <c r="D359" s="266" t="s">
        <v>283</v>
      </c>
      <c r="E359" s="266"/>
      <c r="F359" s="280"/>
      <c r="G359" s="281"/>
      <c r="H359" s="273"/>
      <c r="I359" s="103"/>
    </row>
    <row r="360" spans="1:9">
      <c r="A360" s="266"/>
      <c r="B360" s="261">
        <f>$B$16*2</f>
        <v>0</v>
      </c>
      <c r="C360" s="294">
        <f>$B$16*2</f>
        <v>0</v>
      </c>
      <c r="D360" s="266" t="s">
        <v>1798</v>
      </c>
      <c r="E360" s="266"/>
      <c r="F360" s="280"/>
      <c r="G360" s="281"/>
      <c r="H360" s="273"/>
      <c r="I360" s="103"/>
    </row>
    <row r="361" spans="1:9">
      <c r="A361" s="266"/>
      <c r="B361" s="261">
        <f>$B$17*3</f>
        <v>0</v>
      </c>
      <c r="C361" s="294">
        <f>$B$17*3</f>
        <v>0</v>
      </c>
      <c r="D361" s="266" t="s">
        <v>1799</v>
      </c>
      <c r="E361" s="266"/>
      <c r="F361" s="280"/>
      <c r="G361" s="281"/>
      <c r="H361" s="273"/>
      <c r="I361" s="103"/>
    </row>
    <row r="362" spans="1:9">
      <c r="A362" s="266"/>
      <c r="B362" s="261">
        <f>($B$20+$B$24)*8</f>
        <v>0</v>
      </c>
      <c r="C362" s="294">
        <f>($B$20+$B$24)*8</f>
        <v>0</v>
      </c>
      <c r="D362" s="266" t="s">
        <v>1800</v>
      </c>
      <c r="E362" s="266"/>
      <c r="F362" s="280"/>
      <c r="G362" s="281"/>
      <c r="H362" s="273"/>
      <c r="I362" s="103"/>
    </row>
    <row r="363" spans="1:9">
      <c r="A363" s="266"/>
      <c r="B363" s="261">
        <f>($B$21+$B$25)*8</f>
        <v>0</v>
      </c>
      <c r="C363" s="294">
        <f>($B$21+$B$25)*8</f>
        <v>0</v>
      </c>
      <c r="D363" s="266" t="s">
        <v>1797</v>
      </c>
      <c r="E363" s="266"/>
      <c r="F363" s="280"/>
      <c r="G363" s="281"/>
      <c r="H363" s="273"/>
      <c r="I363" s="103"/>
    </row>
    <row r="364" spans="1:9">
      <c r="A364" s="266"/>
      <c r="B364" s="261">
        <f>($A$123+$A$124+$A$125)*0.25</f>
        <v>0</v>
      </c>
      <c r="C364" s="294">
        <f>($A$123+$A$124+$A$125)*0.25</f>
        <v>0</v>
      </c>
      <c r="D364" s="266" t="s">
        <v>284</v>
      </c>
      <c r="E364" s="266"/>
      <c r="F364" s="280"/>
      <c r="G364" s="281"/>
      <c r="H364" s="273"/>
      <c r="I364" s="103"/>
    </row>
    <row r="365" spans="1:9">
      <c r="A365" s="266"/>
      <c r="B365" s="261">
        <f>($A$269+$A$270+$A$272)*1+($A$266+$A$267)*0.25</f>
        <v>0</v>
      </c>
      <c r="C365" s="294">
        <f>($A$269+$A$270+$A$272)*1+($A$266+$A$267)*0.25</f>
        <v>0</v>
      </c>
      <c r="D365" s="266" t="s">
        <v>1709</v>
      </c>
      <c r="E365" s="266"/>
      <c r="F365" s="280"/>
      <c r="G365" s="281"/>
      <c r="H365" s="273"/>
      <c r="I365" s="103"/>
    </row>
    <row r="366" spans="1:9">
      <c r="A366" s="307"/>
      <c r="B366" s="261">
        <f>SUM($A$93:$A$97)*0.25</f>
        <v>0</v>
      </c>
      <c r="C366" s="294">
        <f>SUM($A$93:$A$97)*0.25</f>
        <v>0</v>
      </c>
      <c r="D366" s="266" t="s">
        <v>1796</v>
      </c>
      <c r="E366" s="266"/>
      <c r="F366" s="280"/>
      <c r="G366" s="281"/>
      <c r="H366" s="273"/>
      <c r="I366" s="103"/>
    </row>
    <row r="367" spans="1:9">
      <c r="A367" s="266"/>
      <c r="B367" s="261">
        <f>SUM($A$102:$A$107)*0.25</f>
        <v>0</v>
      </c>
      <c r="C367" s="294">
        <f>SUM($A$102:$A$107)*0.25</f>
        <v>0</v>
      </c>
      <c r="D367" s="266" t="s">
        <v>1794</v>
      </c>
      <c r="E367" s="266"/>
      <c r="F367" s="280"/>
      <c r="G367" s="281"/>
      <c r="H367" s="273"/>
      <c r="I367" s="103"/>
    </row>
    <row r="368" spans="1:9">
      <c r="A368" s="266"/>
      <c r="B368" s="261">
        <f>SUM($A$98:$A$101)*0.33</f>
        <v>0</v>
      </c>
      <c r="C368" s="294">
        <f>SUM($A$98:$A$101)*0.33</f>
        <v>0</v>
      </c>
      <c r="D368" s="266" t="s">
        <v>1795</v>
      </c>
      <c r="E368" s="266"/>
      <c r="F368" s="280"/>
      <c r="G368" s="281"/>
      <c r="H368" s="273"/>
      <c r="I368" s="103"/>
    </row>
    <row r="369" spans="1:9">
      <c r="A369" s="266"/>
      <c r="B369" s="261">
        <v>0</v>
      </c>
      <c r="C369" s="294">
        <v>0</v>
      </c>
      <c r="D369" s="266" t="s">
        <v>1765</v>
      </c>
      <c r="E369" s="266"/>
      <c r="F369" s="280"/>
      <c r="G369" s="281"/>
      <c r="H369" s="273"/>
      <c r="I369" s="103"/>
    </row>
    <row r="370" spans="1:9">
      <c r="A370" s="266"/>
      <c r="B370" s="261">
        <v>0</v>
      </c>
      <c r="C370" s="294">
        <v>0</v>
      </c>
      <c r="D370" s="266" t="s">
        <v>1766</v>
      </c>
      <c r="E370" s="266"/>
      <c r="F370" s="280"/>
      <c r="G370" s="281"/>
      <c r="H370" s="273"/>
      <c r="I370" s="103"/>
    </row>
    <row r="371" spans="1:9">
      <c r="A371" s="266"/>
      <c r="B371" s="261">
        <v>0</v>
      </c>
      <c r="C371" s="294">
        <v>0</v>
      </c>
      <c r="D371" s="266" t="s">
        <v>281</v>
      </c>
      <c r="E371" s="266"/>
      <c r="F371" s="280"/>
      <c r="G371" s="281"/>
      <c r="H371" s="273"/>
      <c r="I371" s="103"/>
    </row>
    <row r="372" spans="1:9">
      <c r="A372" s="266"/>
      <c r="B372" s="261">
        <v>0</v>
      </c>
      <c r="C372" s="294">
        <v>0</v>
      </c>
      <c r="D372" s="100"/>
      <c r="E372" s="266"/>
      <c r="F372" s="280"/>
      <c r="G372" s="281"/>
      <c r="H372" s="273"/>
      <c r="I372" s="103"/>
    </row>
    <row r="373" spans="1:9">
      <c r="A373" s="266"/>
      <c r="B373" s="261">
        <v>0</v>
      </c>
      <c r="C373" s="294">
        <v>0</v>
      </c>
      <c r="D373" s="100"/>
      <c r="E373" s="266"/>
      <c r="F373" s="280"/>
      <c r="G373" s="281"/>
      <c r="H373" s="273"/>
      <c r="I373" s="103"/>
    </row>
    <row r="374" spans="1:9">
      <c r="A374" s="266"/>
      <c r="B374" s="261">
        <v>0</v>
      </c>
      <c r="C374" s="294">
        <v>0</v>
      </c>
      <c r="D374" s="100"/>
      <c r="E374" s="266"/>
      <c r="F374" s="280"/>
      <c r="G374" s="281"/>
      <c r="H374" s="273"/>
      <c r="I374" s="103"/>
    </row>
    <row r="375" spans="1:9">
      <c r="A375" s="266"/>
      <c r="B375" s="261">
        <f>CEILING(IF($B$8&gt;0,ROUNDUP($B$9,0)*$B$8,0)/ IF($B$7="Makkelijk", 0.8, IF($B$7="Standaard", 1, IF($B$7="Moeilijk", 1.2, 1))),$B$8)</f>
        <v>0</v>
      </c>
      <c r="C375" s="294">
        <f>CEILING(IF($B$8&gt;0,ROUNDUP($B$9,0)*$B$8,0)/ IF($B$7="Makkelijk", 0.8, IF($B$7="Standaard", 1, IF($B$7="Moeilijk", 1.2, 1))),$B$8)</f>
        <v>0</v>
      </c>
      <c r="D375" s="266" t="s">
        <v>276</v>
      </c>
      <c r="E375" s="266"/>
      <c r="F375" s="280"/>
      <c r="G375" s="281"/>
      <c r="H375" s="273"/>
      <c r="I375" s="103"/>
    </row>
    <row r="376" spans="1:9">
      <c r="A376" s="266"/>
      <c r="C376" s="266"/>
      <c r="E376" s="266"/>
      <c r="F376" s="280"/>
      <c r="G376" s="281"/>
      <c r="H376" s="273"/>
      <c r="I376" s="286"/>
    </row>
    <row r="377" spans="1:9">
      <c r="A377" s="304">
        <f>ROUNDUP(SUM($B$378:$B$395)* IF($B$7="Makkelijk", 0.8, IF($B$7="Standaard", 1, IF($B$7="Moeilijk", 1.2, 1)))+$B$396,0)</f>
        <v>0</v>
      </c>
      <c r="B377" s="416" t="s">
        <v>285</v>
      </c>
      <c r="C377" s="416"/>
      <c r="E377" s="305" t="s">
        <v>1760</v>
      </c>
      <c r="F377" s="293">
        <f>'Quotation sheet'!M29</f>
        <v>56</v>
      </c>
      <c r="G377" s="293"/>
      <c r="H377" s="293">
        <f>PRODUCT(A377,F377)</f>
        <v>0</v>
      </c>
      <c r="I377" s="103"/>
    </row>
    <row r="378" spans="1:9">
      <c r="A378" s="266"/>
      <c r="B378" s="261">
        <f>IF($B$12=1,12,IF($B$12&gt;1,8*$B$12,0))</f>
        <v>0</v>
      </c>
      <c r="C378" s="294">
        <f>IF($B$12=1,12,IF($B$12&gt;1,8*$B$12,0))</f>
        <v>0</v>
      </c>
      <c r="D378" s="266" t="s">
        <v>1793</v>
      </c>
      <c r="E378" s="266"/>
      <c r="F378" s="280"/>
      <c r="G378" s="281"/>
      <c r="H378" s="273"/>
      <c r="I378" s="103"/>
    </row>
    <row r="379" spans="1:9">
      <c r="A379" s="266"/>
      <c r="B379" s="261">
        <f>$B$13*8</f>
        <v>0</v>
      </c>
      <c r="C379" s="294">
        <f>$B$13*8</f>
        <v>0</v>
      </c>
      <c r="D379" s="266" t="s">
        <v>1792</v>
      </c>
      <c r="E379" s="266"/>
      <c r="F379" s="280"/>
      <c r="G379" s="281"/>
      <c r="H379" s="273"/>
      <c r="I379" s="103"/>
    </row>
    <row r="380" spans="1:9">
      <c r="A380" s="281"/>
      <c r="B380" s="261">
        <f>$B$5*8</f>
        <v>0</v>
      </c>
      <c r="C380" s="294">
        <f>$B$5*8</f>
        <v>0</v>
      </c>
      <c r="D380" s="266" t="s">
        <v>283</v>
      </c>
      <c r="E380" s="266"/>
      <c r="F380" s="280"/>
      <c r="G380" s="281"/>
      <c r="H380" s="273"/>
      <c r="I380" s="103"/>
    </row>
    <row r="381" spans="1:9">
      <c r="A381" s="281"/>
      <c r="B381" s="261">
        <f>$B$16*2</f>
        <v>0</v>
      </c>
      <c r="C381" s="294">
        <f>$B$16*2</f>
        <v>0</v>
      </c>
      <c r="D381" s="266" t="s">
        <v>1798</v>
      </c>
      <c r="E381" s="266"/>
      <c r="F381" s="280"/>
      <c r="G381" s="281"/>
      <c r="H381" s="273"/>
      <c r="I381" s="103"/>
    </row>
    <row r="382" spans="1:9">
      <c r="A382" s="281"/>
      <c r="B382" s="261">
        <f>$B$17*3</f>
        <v>0</v>
      </c>
      <c r="C382" s="294">
        <f>$B$17*3</f>
        <v>0</v>
      </c>
      <c r="D382" s="266" t="s">
        <v>1799</v>
      </c>
      <c r="E382" s="266"/>
      <c r="F382" s="280"/>
      <c r="G382" s="281"/>
      <c r="H382" s="273"/>
      <c r="I382" s="103"/>
    </row>
    <row r="383" spans="1:9">
      <c r="A383" s="281"/>
      <c r="B383" s="261">
        <f>($B$20+$B$24)*8</f>
        <v>0</v>
      </c>
      <c r="C383" s="294">
        <f>($B$20+$B$24)*8</f>
        <v>0</v>
      </c>
      <c r="D383" s="266" t="s">
        <v>1800</v>
      </c>
      <c r="E383" s="266"/>
      <c r="F383" s="280"/>
      <c r="G383" s="281"/>
      <c r="H383" s="273"/>
      <c r="I383" s="103"/>
    </row>
    <row r="384" spans="1:9">
      <c r="A384" s="281"/>
      <c r="B384" s="261">
        <f>($B$21+$B$25)*8</f>
        <v>0</v>
      </c>
      <c r="C384" s="294">
        <f>($B$21+$B$25)*8</f>
        <v>0</v>
      </c>
      <c r="D384" s="266" t="s">
        <v>1797</v>
      </c>
      <c r="E384" s="266"/>
      <c r="F384" s="280"/>
      <c r="G384" s="281"/>
      <c r="H384" s="273"/>
      <c r="I384" s="103"/>
    </row>
    <row r="385" spans="1:9" s="266" customFormat="1">
      <c r="B385" s="261">
        <f>($A$123+$A$124+$A$125)*0.25</f>
        <v>0</v>
      </c>
      <c r="C385" s="294">
        <f>($A$123+$A$124+$A$125)*0.25</f>
        <v>0</v>
      </c>
      <c r="D385" s="266" t="s">
        <v>284</v>
      </c>
      <c r="F385" s="280"/>
      <c r="G385" s="302"/>
      <c r="H385" s="273"/>
      <c r="I385" s="103"/>
    </row>
    <row r="386" spans="1:9" s="266" customFormat="1">
      <c r="B386" s="261">
        <f>($A$269+$A$270+$A$272)*1+($A$266+$A$267)*0.25</f>
        <v>0</v>
      </c>
      <c r="C386" s="294">
        <f>($A$269+$A$270+$A$272)*1+($A$266+$A$267)*0.25</f>
        <v>0</v>
      </c>
      <c r="D386" s="266" t="s">
        <v>1709</v>
      </c>
      <c r="F386" s="280"/>
      <c r="G386" s="302"/>
      <c r="H386" s="273"/>
      <c r="I386" s="103"/>
    </row>
    <row r="387" spans="1:9" s="266" customFormat="1">
      <c r="B387" s="261">
        <f>SUM($A$93:$A$97)*0.25</f>
        <v>0</v>
      </c>
      <c r="C387" s="294">
        <f>SUM($A$93:$A$97)*0.25</f>
        <v>0</v>
      </c>
      <c r="D387" s="266" t="s">
        <v>1796</v>
      </c>
      <c r="F387" s="280"/>
      <c r="G387" s="308"/>
      <c r="H387" s="273"/>
      <c r="I387" s="103"/>
    </row>
    <row r="388" spans="1:9" s="266" customFormat="1">
      <c r="B388" s="261">
        <f>SUM($A$102:$A$107)*0.25</f>
        <v>0</v>
      </c>
      <c r="C388" s="294">
        <f>SUM($A$102:$A$107)*0.25</f>
        <v>0</v>
      </c>
      <c r="D388" s="266" t="s">
        <v>1794</v>
      </c>
      <c r="F388" s="280"/>
      <c r="G388" s="289"/>
      <c r="H388" s="273"/>
      <c r="I388" s="103"/>
    </row>
    <row r="389" spans="1:9" s="266" customFormat="1">
      <c r="B389" s="261">
        <f>SUM($A$98:$A$101)*0.33</f>
        <v>0</v>
      </c>
      <c r="C389" s="294">
        <f>SUM($A$98:$A$101)*0.33</f>
        <v>0</v>
      </c>
      <c r="D389" s="266" t="s">
        <v>1795</v>
      </c>
      <c r="F389" s="280"/>
      <c r="G389" s="289"/>
      <c r="H389" s="273"/>
      <c r="I389" s="103"/>
    </row>
    <row r="390" spans="1:9" s="266" customFormat="1">
      <c r="B390" s="261">
        <v>0</v>
      </c>
      <c r="C390" s="294">
        <v>0</v>
      </c>
      <c r="D390" s="266" t="s">
        <v>1765</v>
      </c>
      <c r="F390" s="280"/>
      <c r="G390" s="289"/>
      <c r="H390" s="273"/>
      <c r="I390" s="103"/>
    </row>
    <row r="391" spans="1:9" s="266" customFormat="1">
      <c r="B391" s="261">
        <v>0</v>
      </c>
      <c r="C391" s="294">
        <v>0</v>
      </c>
      <c r="D391" s="266" t="s">
        <v>1766</v>
      </c>
      <c r="F391" s="280"/>
      <c r="G391" s="289"/>
      <c r="H391" s="273"/>
      <c r="I391" s="103"/>
    </row>
    <row r="392" spans="1:9" s="266" customFormat="1">
      <c r="B392" s="261">
        <v>0</v>
      </c>
      <c r="C392" s="294">
        <v>0</v>
      </c>
      <c r="D392" s="266" t="s">
        <v>281</v>
      </c>
      <c r="F392" s="280"/>
      <c r="G392" s="289"/>
      <c r="H392" s="273"/>
      <c r="I392" s="103"/>
    </row>
    <row r="393" spans="1:9" s="266" customFormat="1">
      <c r="B393" s="261">
        <v>0</v>
      </c>
      <c r="C393" s="294">
        <v>0</v>
      </c>
      <c r="D393" s="100"/>
      <c r="F393" s="280"/>
      <c r="G393" s="289"/>
      <c r="H393" s="273"/>
      <c r="I393" s="103"/>
    </row>
    <row r="394" spans="1:9" s="266" customFormat="1">
      <c r="B394" s="261">
        <v>0</v>
      </c>
      <c r="C394" s="294">
        <v>0</v>
      </c>
      <c r="D394" s="100"/>
      <c r="F394" s="280"/>
      <c r="G394" s="289"/>
      <c r="H394" s="273"/>
      <c r="I394" s="103"/>
    </row>
    <row r="395" spans="1:9" s="266" customFormat="1">
      <c r="B395" s="261">
        <v>0</v>
      </c>
      <c r="C395" s="294">
        <v>0</v>
      </c>
      <c r="D395" s="100"/>
      <c r="F395" s="280"/>
      <c r="G395" s="289"/>
      <c r="H395" s="273"/>
      <c r="I395" s="103"/>
    </row>
    <row r="396" spans="1:9" s="266" customFormat="1">
      <c r="B396" s="261">
        <f>CEILING(IF($B$8&gt;0,ROUNDUP($B$9,0)*$B$8,0)/ IF($B$7="Makkelijk", 0.8, IF($B$7="Standaard", 1, IF($B$7="Moeilijk", 1.2, 1))),$B$8)</f>
        <v>0</v>
      </c>
      <c r="C396" s="294">
        <f>CEILING(IF($B$8&gt;0,ROUNDUP($B$9,0)*$B$8,0)/ IF($B$7="Makkelijk", 0.8, IF($B$7="Standaard", 1, IF($B$7="Moeilijk", 1.2, 1))),$B$8)</f>
        <v>0</v>
      </c>
      <c r="D396" s="266" t="s">
        <v>276</v>
      </c>
      <c r="F396" s="280"/>
      <c r="G396" s="289"/>
      <c r="H396" s="273"/>
      <c r="I396" s="103"/>
    </row>
    <row r="397" spans="1:9" s="266" customFormat="1" ht="18.75" thickBot="1">
      <c r="F397" s="280"/>
      <c r="G397" s="289"/>
      <c r="H397" s="273"/>
      <c r="I397" s="295"/>
    </row>
    <row r="398" spans="1:9" ht="18.75" thickBot="1">
      <c r="A398" s="413" t="s">
        <v>55</v>
      </c>
      <c r="B398" s="414"/>
      <c r="C398" s="414"/>
      <c r="D398" s="414"/>
      <c r="E398" s="414"/>
      <c r="F398" s="414"/>
      <c r="G398" s="414"/>
      <c r="H398" s="414"/>
      <c r="I398" s="415"/>
    </row>
    <row r="399" spans="1:9" s="266" customFormat="1">
      <c r="A399" s="100">
        <v>0</v>
      </c>
      <c r="B399" s="412" t="s">
        <v>286</v>
      </c>
      <c r="C399" s="412"/>
      <c r="E399" s="266" t="s">
        <v>121</v>
      </c>
      <c r="F399" s="102" t="s">
        <v>287</v>
      </c>
      <c r="G399" s="293"/>
      <c r="H399" s="293">
        <f t="shared" ref="H399:H411" si="17">PRODUCT(A399,F399)</f>
        <v>0</v>
      </c>
      <c r="I399" s="103"/>
    </row>
    <row r="400" spans="1:9" s="266" customFormat="1">
      <c r="A400" s="100">
        <v>0</v>
      </c>
      <c r="B400" s="412" t="s">
        <v>288</v>
      </c>
      <c r="C400" s="412"/>
      <c r="E400" s="266" t="s">
        <v>142</v>
      </c>
      <c r="F400" s="102">
        <v>140</v>
      </c>
      <c r="G400" s="293"/>
      <c r="H400" s="293">
        <f t="shared" si="17"/>
        <v>0</v>
      </c>
      <c r="I400" s="103"/>
    </row>
    <row r="401" spans="1:9" s="266" customFormat="1">
      <c r="A401" s="100">
        <v>0</v>
      </c>
      <c r="B401" s="412" t="s">
        <v>289</v>
      </c>
      <c r="C401" s="412"/>
      <c r="E401" s="266" t="s">
        <v>121</v>
      </c>
      <c r="F401" s="102">
        <v>500</v>
      </c>
      <c r="G401" s="293"/>
      <c r="H401" s="293">
        <f t="shared" si="17"/>
        <v>0</v>
      </c>
      <c r="I401" s="103"/>
    </row>
    <row r="402" spans="1:9" s="266" customFormat="1">
      <c r="A402" s="100">
        <v>0</v>
      </c>
      <c r="B402" s="412" t="s">
        <v>290</v>
      </c>
      <c r="C402" s="412"/>
      <c r="E402" s="266" t="s">
        <v>121</v>
      </c>
      <c r="F402" s="102" t="s">
        <v>287</v>
      </c>
      <c r="G402" s="293"/>
      <c r="H402" s="293">
        <f t="shared" si="17"/>
        <v>0</v>
      </c>
      <c r="I402" s="103"/>
    </row>
    <row r="403" spans="1:9" s="266" customFormat="1">
      <c r="A403" s="100">
        <v>0</v>
      </c>
      <c r="B403" s="412" t="s">
        <v>291</v>
      </c>
      <c r="C403" s="412"/>
      <c r="E403" s="266" t="s">
        <v>121</v>
      </c>
      <c r="F403" s="102">
        <v>200</v>
      </c>
      <c r="G403" s="293"/>
      <c r="H403" s="293">
        <f t="shared" si="17"/>
        <v>0</v>
      </c>
      <c r="I403" s="103"/>
    </row>
    <row r="404" spans="1:9" s="266" customFormat="1">
      <c r="A404" s="100">
        <v>0</v>
      </c>
      <c r="B404" s="412" t="s">
        <v>292</v>
      </c>
      <c r="C404" s="412"/>
      <c r="E404" s="266" t="s">
        <v>293</v>
      </c>
      <c r="F404" s="102" t="s">
        <v>287</v>
      </c>
      <c r="G404" s="293"/>
      <c r="H404" s="293">
        <f t="shared" si="17"/>
        <v>0</v>
      </c>
      <c r="I404" s="103"/>
    </row>
    <row r="405" spans="1:9" s="266" customFormat="1">
      <c r="A405" s="100">
        <v>0</v>
      </c>
      <c r="B405" s="412" t="s">
        <v>294</v>
      </c>
      <c r="C405" s="412"/>
      <c r="E405" s="266" t="s">
        <v>293</v>
      </c>
      <c r="F405" s="102" t="s">
        <v>287</v>
      </c>
      <c r="G405" s="293"/>
      <c r="H405" s="293">
        <f t="shared" si="17"/>
        <v>0</v>
      </c>
      <c r="I405" s="103"/>
    </row>
    <row r="406" spans="1:9" s="266" customFormat="1">
      <c r="A406" s="100">
        <v>0</v>
      </c>
      <c r="B406" s="412" t="s">
        <v>295</v>
      </c>
      <c r="C406" s="412"/>
      <c r="E406" s="266" t="s">
        <v>293</v>
      </c>
      <c r="F406" s="102" t="s">
        <v>287</v>
      </c>
      <c r="G406" s="293"/>
      <c r="H406" s="293">
        <f t="shared" si="17"/>
        <v>0</v>
      </c>
      <c r="I406" s="103"/>
    </row>
    <row r="407" spans="1:9" s="266" customFormat="1">
      <c r="A407" s="100">
        <v>0</v>
      </c>
      <c r="B407" s="412" t="s">
        <v>296</v>
      </c>
      <c r="C407" s="412"/>
      <c r="E407" s="266" t="s">
        <v>293</v>
      </c>
      <c r="F407" s="102" t="s">
        <v>287</v>
      </c>
      <c r="G407" s="293"/>
      <c r="H407" s="293">
        <f t="shared" si="17"/>
        <v>0</v>
      </c>
      <c r="I407" s="103"/>
    </row>
    <row r="408" spans="1:9" s="266" customFormat="1">
      <c r="A408" s="100">
        <v>0</v>
      </c>
      <c r="B408" s="412" t="s">
        <v>1715</v>
      </c>
      <c r="C408" s="412"/>
      <c r="E408" s="266" t="s">
        <v>293</v>
      </c>
      <c r="F408" s="102" t="s">
        <v>287</v>
      </c>
      <c r="G408" s="293"/>
      <c r="H408" s="293">
        <f t="shared" si="17"/>
        <v>0</v>
      </c>
      <c r="I408" s="103"/>
    </row>
    <row r="409" spans="1:9" s="266" customFormat="1">
      <c r="A409" s="100">
        <v>0</v>
      </c>
      <c r="B409" s="412" t="s">
        <v>1659</v>
      </c>
      <c r="C409" s="412"/>
      <c r="E409" s="266" t="s">
        <v>293</v>
      </c>
      <c r="F409" s="102">
        <v>250</v>
      </c>
      <c r="G409" s="293"/>
      <c r="H409" s="293">
        <f t="shared" si="17"/>
        <v>0</v>
      </c>
      <c r="I409" s="103"/>
    </row>
    <row r="410" spans="1:9" s="266" customFormat="1">
      <c r="A410" s="100">
        <v>0</v>
      </c>
      <c r="B410" s="412" t="s">
        <v>1716</v>
      </c>
      <c r="C410" s="412"/>
      <c r="E410" s="266" t="s">
        <v>293</v>
      </c>
      <c r="F410" s="102" t="s">
        <v>287</v>
      </c>
      <c r="G410" s="293"/>
      <c r="H410" s="293">
        <f t="shared" si="17"/>
        <v>0</v>
      </c>
      <c r="I410" s="103"/>
    </row>
    <row r="411" spans="1:9" s="266" customFormat="1">
      <c r="A411" s="104">
        <v>0</v>
      </c>
      <c r="B411" s="412" t="s">
        <v>2266</v>
      </c>
      <c r="C411" s="412"/>
      <c r="E411" s="266" t="s">
        <v>121</v>
      </c>
      <c r="F411" s="102">
        <v>75</v>
      </c>
      <c r="G411" s="293"/>
      <c r="H411" s="293">
        <f t="shared" si="17"/>
        <v>0</v>
      </c>
      <c r="I411" s="103" t="s">
        <v>2267</v>
      </c>
    </row>
    <row r="412" spans="1:9" s="266" customFormat="1">
      <c r="A412" s="100">
        <v>0</v>
      </c>
      <c r="B412" s="411"/>
      <c r="C412" s="411"/>
      <c r="E412" s="266" t="s">
        <v>293</v>
      </c>
      <c r="F412" s="102" t="s">
        <v>287</v>
      </c>
      <c r="G412" s="293"/>
      <c r="H412" s="293">
        <f>PRODUCT(A412,F412)</f>
        <v>0</v>
      </c>
      <c r="I412" s="103"/>
    </row>
    <row r="413" spans="1:9" s="266" customFormat="1">
      <c r="A413" s="100">
        <v>0</v>
      </c>
      <c r="B413" s="411"/>
      <c r="C413" s="411"/>
      <c r="E413" s="266" t="s">
        <v>293</v>
      </c>
      <c r="F413" s="102" t="s">
        <v>287</v>
      </c>
      <c r="G413" s="293"/>
      <c r="H413" s="293">
        <f>PRODUCT(A413,F413)</f>
        <v>0</v>
      </c>
      <c r="I413" s="103"/>
    </row>
    <row r="414" spans="1:9" s="266" customFormat="1">
      <c r="A414" s="100">
        <v>0</v>
      </c>
      <c r="B414" s="411"/>
      <c r="C414" s="411"/>
      <c r="E414" s="266" t="s">
        <v>293</v>
      </c>
      <c r="F414" s="102" t="s">
        <v>287</v>
      </c>
      <c r="G414" s="293"/>
      <c r="H414" s="293">
        <f>PRODUCT(A414,F414)</f>
        <v>0</v>
      </c>
      <c r="I414" s="103"/>
    </row>
    <row r="415" spans="1:9" s="266" customFormat="1">
      <c r="A415" s="100">
        <v>0</v>
      </c>
      <c r="B415" s="411"/>
      <c r="C415" s="411"/>
      <c r="E415" s="266" t="s">
        <v>293</v>
      </c>
      <c r="F415" s="102" t="s">
        <v>287</v>
      </c>
      <c r="G415" s="293"/>
      <c r="H415" s="293">
        <f>PRODUCT(A415,F415)</f>
        <v>0</v>
      </c>
      <c r="I415" s="103"/>
    </row>
    <row r="416" spans="1:9" s="266" customFormat="1">
      <c r="A416" s="100">
        <v>0</v>
      </c>
      <c r="B416" s="411"/>
      <c r="C416" s="411"/>
      <c r="E416" s="266" t="s">
        <v>293</v>
      </c>
      <c r="F416" s="102" t="s">
        <v>287</v>
      </c>
      <c r="G416" s="293"/>
      <c r="H416" s="293">
        <f>PRODUCT(A416,F416)</f>
        <v>0</v>
      </c>
      <c r="I416" s="103"/>
    </row>
    <row r="417" spans="1:9">
      <c r="B417" s="266"/>
      <c r="F417" s="293"/>
      <c r="G417" s="293" t="s">
        <v>297</v>
      </c>
      <c r="H417" s="293">
        <f>SUM(H399:H416)</f>
        <v>0</v>
      </c>
      <c r="I417" s="103"/>
    </row>
    <row r="418" spans="1:9" ht="18.75" thickBot="1">
      <c r="H418" s="286"/>
    </row>
    <row r="419" spans="1:9" ht="18.75" thickBot="1">
      <c r="A419" s="413" t="s">
        <v>66</v>
      </c>
      <c r="B419" s="414"/>
      <c r="C419" s="414"/>
      <c r="D419" s="414"/>
      <c r="E419" s="414"/>
      <c r="F419" s="414"/>
      <c r="G419" s="414"/>
      <c r="H419" s="414"/>
      <c r="I419" s="415"/>
    </row>
    <row r="420" spans="1:9" s="266" customFormat="1">
      <c r="A420" s="100">
        <v>0</v>
      </c>
      <c r="B420" s="412" t="s">
        <v>298</v>
      </c>
      <c r="C420" s="412"/>
      <c r="E420" s="266" t="s">
        <v>1725</v>
      </c>
      <c r="F420" s="102">
        <v>700</v>
      </c>
      <c r="G420" s="293"/>
      <c r="H420" s="293">
        <f t="shared" ref="H420:H428" si="18">PRODUCT(A420,F420)</f>
        <v>0</v>
      </c>
      <c r="I420" s="103"/>
    </row>
    <row r="421" spans="1:9" s="266" customFormat="1">
      <c r="A421" s="100">
        <v>0</v>
      </c>
      <c r="B421" s="412" t="s">
        <v>299</v>
      </c>
      <c r="C421" s="412"/>
      <c r="E421" s="266" t="s">
        <v>293</v>
      </c>
      <c r="F421" s="102" t="s">
        <v>287</v>
      </c>
      <c r="G421" s="293"/>
      <c r="H421" s="293">
        <f t="shared" si="18"/>
        <v>0</v>
      </c>
      <c r="I421" s="103"/>
    </row>
    <row r="422" spans="1:9" s="266" customFormat="1">
      <c r="A422" s="100">
        <v>0</v>
      </c>
      <c r="B422" s="412" t="s">
        <v>300</v>
      </c>
      <c r="C422" s="412"/>
      <c r="E422" s="266" t="s">
        <v>293</v>
      </c>
      <c r="F422" s="102" t="s">
        <v>287</v>
      </c>
      <c r="G422" s="293"/>
      <c r="H422" s="293">
        <f t="shared" si="18"/>
        <v>0</v>
      </c>
      <c r="I422" s="103"/>
    </row>
    <row r="423" spans="1:9" s="266" customFormat="1">
      <c r="A423" s="100">
        <v>0</v>
      </c>
      <c r="B423" s="412" t="s">
        <v>1663</v>
      </c>
      <c r="C423" s="412"/>
      <c r="E423" s="110" t="s">
        <v>1712</v>
      </c>
      <c r="F423" s="98">
        <v>0.27</v>
      </c>
      <c r="G423" s="293"/>
      <c r="H423" s="293">
        <f t="shared" si="18"/>
        <v>0</v>
      </c>
      <c r="I423" s="103"/>
    </row>
    <row r="424" spans="1:9" s="266" customFormat="1">
      <c r="A424" s="100">
        <v>0</v>
      </c>
      <c r="B424" s="411"/>
      <c r="C424" s="411"/>
      <c r="E424" s="266" t="s">
        <v>293</v>
      </c>
      <c r="F424" s="102" t="s">
        <v>287</v>
      </c>
      <c r="G424" s="293"/>
      <c r="H424" s="293">
        <f t="shared" si="18"/>
        <v>0</v>
      </c>
      <c r="I424" s="103"/>
    </row>
    <row r="425" spans="1:9" s="266" customFormat="1">
      <c r="A425" s="100">
        <v>0</v>
      </c>
      <c r="B425" s="411"/>
      <c r="C425" s="411"/>
      <c r="E425" s="266" t="s">
        <v>293</v>
      </c>
      <c r="F425" s="102" t="s">
        <v>287</v>
      </c>
      <c r="G425" s="293"/>
      <c r="H425" s="293">
        <f t="shared" si="18"/>
        <v>0</v>
      </c>
      <c r="I425" s="103"/>
    </row>
    <row r="426" spans="1:9" s="266" customFormat="1">
      <c r="A426" s="100">
        <v>0</v>
      </c>
      <c r="B426" s="411"/>
      <c r="C426" s="411"/>
      <c r="E426" s="266" t="s">
        <v>293</v>
      </c>
      <c r="F426" s="102" t="s">
        <v>287</v>
      </c>
      <c r="G426" s="293"/>
      <c r="H426" s="293">
        <f t="shared" si="18"/>
        <v>0</v>
      </c>
      <c r="I426" s="103"/>
    </row>
    <row r="427" spans="1:9" s="266" customFormat="1">
      <c r="A427" s="100">
        <v>0</v>
      </c>
      <c r="B427" s="411"/>
      <c r="C427" s="411"/>
      <c r="E427" s="266" t="s">
        <v>293</v>
      </c>
      <c r="F427" s="102" t="s">
        <v>287</v>
      </c>
      <c r="G427" s="293"/>
      <c r="H427" s="293">
        <f t="shared" si="18"/>
        <v>0</v>
      </c>
      <c r="I427" s="103"/>
    </row>
    <row r="428" spans="1:9" s="266" customFormat="1">
      <c r="A428" s="100">
        <v>0</v>
      </c>
      <c r="B428" s="411"/>
      <c r="C428" s="411"/>
      <c r="E428" s="266" t="s">
        <v>293</v>
      </c>
      <c r="F428" s="102" t="s">
        <v>287</v>
      </c>
      <c r="G428" s="293"/>
      <c r="H428" s="293">
        <f t="shared" si="18"/>
        <v>0</v>
      </c>
      <c r="I428" s="103"/>
    </row>
    <row r="429" spans="1:9" s="266" customFormat="1">
      <c r="F429" s="293"/>
      <c r="G429" s="293" t="s">
        <v>297</v>
      </c>
      <c r="H429" s="293">
        <f>SUM(H420:H428)</f>
        <v>0</v>
      </c>
      <c r="I429" s="103"/>
    </row>
    <row r="430" spans="1:9" ht="18.75" thickBot="1">
      <c r="H430" s="286"/>
    </row>
    <row r="431" spans="1:9" ht="18.75" thickBot="1">
      <c r="A431" s="413" t="s">
        <v>100</v>
      </c>
      <c r="B431" s="414"/>
      <c r="C431" s="414"/>
      <c r="D431" s="414"/>
      <c r="E431" s="414"/>
      <c r="F431" s="414"/>
      <c r="G431" s="414"/>
      <c r="H431" s="414"/>
      <c r="I431" s="415"/>
    </row>
    <row r="432" spans="1:9" s="266" customFormat="1">
      <c r="A432" s="111">
        <f>B435*8</f>
        <v>0</v>
      </c>
      <c r="B432" s="266" t="s">
        <v>301</v>
      </c>
      <c r="G432" s="293"/>
    </row>
    <row r="433" spans="1:9" s="266" customFormat="1">
      <c r="B433" s="266" t="s">
        <v>303</v>
      </c>
      <c r="D433" s="100" t="s">
        <v>304</v>
      </c>
      <c r="E433" s="266" t="s">
        <v>302</v>
      </c>
      <c r="F433" s="102">
        <f>VLOOKUP(D433,Parkeertarieven!A:B,2,FALSE)</f>
        <v>0</v>
      </c>
      <c r="G433" s="293"/>
      <c r="H433" s="293">
        <f>PRODUCT(A432,F433)</f>
        <v>0</v>
      </c>
      <c r="I433" s="103"/>
    </row>
    <row r="434" spans="1:9" s="266" customFormat="1">
      <c r="A434" s="100">
        <v>0</v>
      </c>
      <c r="B434" s="266" t="s">
        <v>1661</v>
      </c>
      <c r="D434" s="267" t="s">
        <v>1660</v>
      </c>
      <c r="E434" s="266" t="s">
        <v>1662</v>
      </c>
      <c r="F434" s="102">
        <v>150</v>
      </c>
      <c r="G434" s="293"/>
      <c r="H434" s="293">
        <f>PRODUCT(A434,F434)</f>
        <v>0</v>
      </c>
      <c r="I434" s="103"/>
    </row>
    <row r="435" spans="1:9" s="266" customFormat="1">
      <c r="A435" s="267"/>
      <c r="B435" s="111">
        <f>B9</f>
        <v>0</v>
      </c>
      <c r="D435" s="266" t="s">
        <v>305</v>
      </c>
      <c r="F435" s="280"/>
      <c r="G435" s="293"/>
      <c r="H435" s="293"/>
      <c r="I435" s="103"/>
    </row>
    <row r="436" spans="1:9" s="266" customFormat="1">
      <c r="F436" s="280"/>
      <c r="G436" s="293"/>
      <c r="H436" s="293"/>
      <c r="I436" s="295"/>
    </row>
    <row r="437" spans="1:9" s="266" customFormat="1">
      <c r="A437" s="257"/>
      <c r="F437" s="280"/>
      <c r="G437" s="293" t="s">
        <v>297</v>
      </c>
      <c r="H437" s="293">
        <f>SUM(H433:H436)</f>
        <v>0</v>
      </c>
      <c r="I437" s="103"/>
    </row>
    <row r="438" spans="1:9" s="266" customFormat="1" ht="18.75" thickBot="1">
      <c r="E438" s="280"/>
      <c r="G438" s="273"/>
      <c r="H438" s="295"/>
    </row>
    <row r="439" spans="1:9" s="266" customFormat="1" ht="18.75" thickBot="1">
      <c r="A439" s="413" t="s">
        <v>306</v>
      </c>
      <c r="B439" s="414"/>
      <c r="C439" s="414"/>
      <c r="D439" s="414"/>
      <c r="E439" s="414"/>
      <c r="F439" s="414"/>
      <c r="G439" s="414"/>
      <c r="H439" s="414"/>
      <c r="I439" s="415"/>
    </row>
    <row r="440" spans="1:9" s="266" customFormat="1">
      <c r="A440" s="40"/>
      <c r="B440" s="412" t="s">
        <v>84</v>
      </c>
      <c r="C440" s="412"/>
      <c r="D440" s="100" t="s">
        <v>307</v>
      </c>
      <c r="F440" s="99">
        <f>VLOOKUP(D440,'Omzetbonus+Provisie'!$A:$B,2,FALSE)</f>
        <v>0</v>
      </c>
      <c r="G440" s="309"/>
      <c r="H440" s="273"/>
      <c r="I440" s="103"/>
    </row>
    <row r="441" spans="1:9" s="266" customFormat="1" ht="18.75" thickBot="1">
      <c r="E441" s="280"/>
      <c r="F441" s="309"/>
      <c r="G441" s="273"/>
    </row>
    <row r="442" spans="1:9" s="266" customFormat="1" ht="18.75" thickBot="1">
      <c r="A442" s="413" t="s">
        <v>1718</v>
      </c>
      <c r="B442" s="414"/>
      <c r="C442" s="414"/>
      <c r="D442" s="414"/>
      <c r="E442" s="414"/>
      <c r="F442" s="414"/>
      <c r="G442" s="414"/>
      <c r="H442" s="414"/>
      <c r="I442" s="415"/>
    </row>
    <row r="443" spans="1:9" s="266" customFormat="1">
      <c r="A443" s="267"/>
      <c r="B443" s="412" t="s">
        <v>1717</v>
      </c>
      <c r="C443" s="412"/>
      <c r="D443" s="100" t="s">
        <v>1822</v>
      </c>
      <c r="F443" s="99">
        <f>VLOOKUP(D443,'Omzetbonus+Provisie'!$D:$E,2,FALSE)</f>
        <v>0</v>
      </c>
      <c r="G443" s="293"/>
      <c r="H443" s="293"/>
      <c r="I443" s="103"/>
    </row>
  </sheetData>
  <sheetProtection sheet="1" formatRows="0" autoFilter="0"/>
  <mergeCells count="47">
    <mergeCell ref="A328:I328"/>
    <mergeCell ref="A419:I419"/>
    <mergeCell ref="B330:C330"/>
    <mergeCell ref="B333:C333"/>
    <mergeCell ref="B336:C336"/>
    <mergeCell ref="B377:C377"/>
    <mergeCell ref="B356:C356"/>
    <mergeCell ref="B343:C343"/>
    <mergeCell ref="B410:C410"/>
    <mergeCell ref="B409:C409"/>
    <mergeCell ref="B408:C408"/>
    <mergeCell ref="B402:C402"/>
    <mergeCell ref="B411:C411"/>
    <mergeCell ref="B416:C416"/>
    <mergeCell ref="B399:C399"/>
    <mergeCell ref="B404:C404"/>
    <mergeCell ref="B339:C339"/>
    <mergeCell ref="B420:C420"/>
    <mergeCell ref="B421:C421"/>
    <mergeCell ref="B422:C422"/>
    <mergeCell ref="B443:C443"/>
    <mergeCell ref="B440:C440"/>
    <mergeCell ref="B423:C423"/>
    <mergeCell ref="A431:I431"/>
    <mergeCell ref="A439:I439"/>
    <mergeCell ref="A442:I442"/>
    <mergeCell ref="B428:C428"/>
    <mergeCell ref="B427:C427"/>
    <mergeCell ref="B426:C426"/>
    <mergeCell ref="B425:C425"/>
    <mergeCell ref="B424:C424"/>
    <mergeCell ref="D1:D6"/>
    <mergeCell ref="B415:C415"/>
    <mergeCell ref="B414:C414"/>
    <mergeCell ref="B413:C413"/>
    <mergeCell ref="B412:C412"/>
    <mergeCell ref="B403:C403"/>
    <mergeCell ref="B401:C401"/>
    <mergeCell ref="B400:C400"/>
    <mergeCell ref="B407:C407"/>
    <mergeCell ref="B406:C406"/>
    <mergeCell ref="B405:C405"/>
    <mergeCell ref="A398:I398"/>
    <mergeCell ref="C7:D7"/>
    <mergeCell ref="C9:D9"/>
    <mergeCell ref="C8:D8"/>
    <mergeCell ref="A28:I28"/>
  </mergeCells>
  <phoneticPr fontId="40" type="noConversion"/>
  <conditionalFormatting sqref="C266:C300">
    <cfRule type="duplicateValues" dxfId="0" priority="10"/>
  </conditionalFormatting>
  <pageMargins left="0.7" right="0.7" top="0.75" bottom="0.75" header="0.3" footer="0.3"/>
  <pageSetup paperSize="9" orientation="portrait" r:id="rId1"/>
  <headerFooter>
    <oddFooter>&amp;C_x000D_&amp;1#&amp;"Calibri"&amp;10&amp;KFFFF00 C1-Intern use</oddFooter>
  </headerFooter>
  <ignoredErrors>
    <ignoredError sqref="B6" formulaRange="1"/>
    <ignoredError sqref="A91 A27:I27 A327:I327 A1:B1 A254 A441:I441 A440 A433 A430:I430 A101 A135:A138 A227:A229 A246:A247 A435:A436 A105 A418:I418 A417:D417 B400 B399 B407 B406 B405 B404 B403 B421 A429:D429 A28 A72 A355 A328 A398 A419 A154:A155 A3:A4 A334:A335 A331:A332 A256:A257 A108 A264 A267 A347:B347 A438:I438 A357:A358 A376 A342 A371 A392 A396:A397 F433 A385:A389 A26 G12:I13 A344:B345 A185 A87 A238:A239 A188:A195 A241:A242 A173:A183 A337:A338 B366:C366 B365 B357:C364 B367 A354:C354 B381:C397 A378:C380 B377:C377 B368:C376 A161:A171" unlockedFormula="1"/>
    <ignoredError sqref="F106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C0445F8C-10C7-4C3D-B8C2-0773C566FA54}">
          <x14:formula1>
            <xm:f>Systemen!$E$2:$E$4</xm:f>
          </x14:formula1>
          <xm:sqref>B7</xm:sqref>
        </x14:dataValidation>
        <x14:dataValidation type="list" allowBlank="1" showInputMessage="1" showErrorMessage="1" xr:uid="{79FF401B-F68F-4D68-A061-1DD5DB321DAA}">
          <x14:formula1>
            <xm:f>Parkeertarieven!$A$2:$A$14</xm:f>
          </x14:formula1>
          <xm:sqref>D433</xm:sqref>
        </x14:dataValidation>
        <x14:dataValidation type="list" allowBlank="1" showInputMessage="1" showErrorMessage="1" xr:uid="{94125A79-D9AE-4C4B-8D9D-1526A15C7B07}">
          <x14:formula1>
            <xm:f>'Omzetbonus+Provisie'!$A$2:$A$18</xm:f>
          </x14:formula1>
          <xm:sqref>D440</xm:sqref>
        </x14:dataValidation>
        <x14:dataValidation type="list" allowBlank="1" showInputMessage="1" showErrorMessage="1" xr:uid="{3D093E80-80B3-43B7-B1DF-FB4E71EFA578}">
          <x14:formula1>
            <xm:f>'Omzetbonus+Provisie'!$D$2:$D$5</xm:f>
          </x14:formula1>
          <xm:sqref>D443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55E8-D242-4B00-A4B6-ECA149001328}">
  <sheetPr>
    <tabColor rgb="FFFF0000"/>
  </sheetPr>
  <dimension ref="A1:P475"/>
  <sheetViews>
    <sheetView zoomScale="130" zoomScaleNormal="130" workbookViewId="0">
      <pane ySplit="1" topLeftCell="A2" activePane="bottomLeft" state="frozen"/>
      <selection pane="bottomLeft" activeCell="F7" sqref="F7"/>
    </sheetView>
  </sheetViews>
  <sheetFormatPr defaultColWidth="9.140625" defaultRowHeight="15"/>
  <cols>
    <col min="1" max="1" width="16.42578125" style="42" bestFit="1" customWidth="1"/>
    <col min="2" max="2" width="7.7109375" bestFit="1" customWidth="1"/>
    <col min="3" max="3" width="18.140625" customWidth="1"/>
    <col min="4" max="4" width="20.28515625" bestFit="1" customWidth="1"/>
    <col min="5" max="5" width="21.28515625" customWidth="1"/>
    <col min="6" max="6" width="45.140625" bestFit="1" customWidth="1"/>
    <col min="7" max="7" width="13.28515625" bestFit="1" customWidth="1"/>
    <col min="8" max="8" width="17.28515625" bestFit="1" customWidth="1"/>
    <col min="9" max="9" width="14.28515625" customWidth="1"/>
    <col min="10" max="10" width="32.5703125" customWidth="1"/>
    <col min="11" max="11" width="23" customWidth="1"/>
    <col min="12" max="12" width="22.28515625" customWidth="1"/>
    <col min="13" max="13" width="22.140625" customWidth="1"/>
    <col min="14" max="14" width="13" bestFit="1" customWidth="1"/>
  </cols>
  <sheetData>
    <row r="1" spans="1:16">
      <c r="A1" s="41" t="s">
        <v>308</v>
      </c>
      <c r="B1" s="41" t="s">
        <v>309</v>
      </c>
      <c r="C1" s="41" t="s">
        <v>310</v>
      </c>
      <c r="D1" s="41" t="s">
        <v>311</v>
      </c>
      <c r="E1" s="41" t="s">
        <v>312</v>
      </c>
      <c r="F1" s="41" t="s">
        <v>313</v>
      </c>
      <c r="G1" s="41" t="s">
        <v>2470</v>
      </c>
      <c r="H1" s="41" t="s">
        <v>314</v>
      </c>
      <c r="I1" s="41" t="s">
        <v>315</v>
      </c>
      <c r="J1" s="41" t="s">
        <v>317</v>
      </c>
      <c r="K1" s="41" t="s">
        <v>2471</v>
      </c>
      <c r="L1" s="41" t="s">
        <v>316</v>
      </c>
      <c r="M1" s="41" t="s">
        <v>2472</v>
      </c>
      <c r="N1" s="41" t="s">
        <v>318</v>
      </c>
      <c r="O1" s="41" t="s">
        <v>319</v>
      </c>
      <c r="P1" s="41" t="s">
        <v>320</v>
      </c>
    </row>
    <row r="2" spans="1:16">
      <c r="A2" s="42" t="str">
        <f>VLOOKUP(E2,'Soort voorraad'!A:B,2,FALSE)</f>
        <v>Projectvoorraad</v>
      </c>
      <c r="B2" t="s">
        <v>321</v>
      </c>
      <c r="C2" t="s">
        <v>322</v>
      </c>
      <c r="D2" t="s">
        <v>323</v>
      </c>
      <c r="E2" t="s">
        <v>248</v>
      </c>
      <c r="F2" t="s">
        <v>989</v>
      </c>
      <c r="G2" t="s">
        <v>1839</v>
      </c>
      <c r="H2">
        <v>0</v>
      </c>
      <c r="I2">
        <v>0</v>
      </c>
      <c r="J2">
        <v>8</v>
      </c>
      <c r="K2">
        <v>0</v>
      </c>
      <c r="L2">
        <v>0</v>
      </c>
      <c r="M2">
        <v>8</v>
      </c>
      <c r="N2">
        <v>184.99</v>
      </c>
      <c r="O2" t="s">
        <v>121</v>
      </c>
      <c r="P2">
        <v>1479.92</v>
      </c>
    </row>
    <row r="3" spans="1:16">
      <c r="A3" s="42" t="str">
        <f>VLOOKUP(E3,'Soort voorraad'!A:B,2,FALSE)</f>
        <v>Projectvoorraad</v>
      </c>
      <c r="B3" t="s">
        <v>321</v>
      </c>
      <c r="C3" t="s">
        <v>322</v>
      </c>
      <c r="D3" t="s">
        <v>323</v>
      </c>
      <c r="E3" t="s">
        <v>242</v>
      </c>
      <c r="F3" t="s">
        <v>990</v>
      </c>
      <c r="G3" t="s">
        <v>1839</v>
      </c>
      <c r="H3">
        <v>0</v>
      </c>
      <c r="I3">
        <v>0</v>
      </c>
      <c r="J3">
        <v>6</v>
      </c>
      <c r="K3">
        <v>0</v>
      </c>
      <c r="L3">
        <v>0</v>
      </c>
      <c r="M3">
        <v>6</v>
      </c>
      <c r="N3">
        <v>714.71</v>
      </c>
      <c r="O3" t="s">
        <v>121</v>
      </c>
      <c r="P3">
        <v>4288.26</v>
      </c>
    </row>
    <row r="4" spans="1:16">
      <c r="A4" s="42" t="str">
        <f>VLOOKUP(E4,'Soort voorraad'!A:B,2,FALSE)</f>
        <v>Projectvoorraad</v>
      </c>
      <c r="B4" t="s">
        <v>321</v>
      </c>
      <c r="C4" t="s">
        <v>322</v>
      </c>
      <c r="D4" t="s">
        <v>323</v>
      </c>
      <c r="E4" t="s">
        <v>245</v>
      </c>
      <c r="F4" t="s">
        <v>993</v>
      </c>
      <c r="G4" t="s">
        <v>1839</v>
      </c>
      <c r="H4">
        <v>0</v>
      </c>
      <c r="I4">
        <v>0</v>
      </c>
      <c r="J4">
        <v>4</v>
      </c>
      <c r="K4">
        <v>0</v>
      </c>
      <c r="L4">
        <v>0</v>
      </c>
      <c r="M4">
        <v>4</v>
      </c>
      <c r="N4">
        <v>210</v>
      </c>
      <c r="O4" t="s">
        <v>121</v>
      </c>
      <c r="P4">
        <v>840</v>
      </c>
    </row>
    <row r="5" spans="1:16">
      <c r="A5" s="42" t="str">
        <f>VLOOKUP(E5,'Soort voorraad'!A:B,2,FALSE)</f>
        <v>Projectvoorraad</v>
      </c>
      <c r="B5" t="s">
        <v>321</v>
      </c>
      <c r="C5" t="s">
        <v>322</v>
      </c>
      <c r="D5" t="s">
        <v>323</v>
      </c>
      <c r="E5" t="s">
        <v>151</v>
      </c>
      <c r="F5" t="s">
        <v>1688</v>
      </c>
      <c r="G5" t="s">
        <v>1839</v>
      </c>
      <c r="H5">
        <v>150</v>
      </c>
      <c r="I5">
        <v>100</v>
      </c>
      <c r="J5">
        <v>127</v>
      </c>
      <c r="K5">
        <v>0</v>
      </c>
      <c r="L5">
        <v>0</v>
      </c>
      <c r="M5">
        <v>127</v>
      </c>
      <c r="N5">
        <v>3.97</v>
      </c>
      <c r="O5" t="s">
        <v>142</v>
      </c>
      <c r="P5">
        <v>503.89</v>
      </c>
    </row>
    <row r="6" spans="1:16">
      <c r="A6" s="42" t="str">
        <f>VLOOKUP(E6,'Soort voorraad'!A:B,2,FALSE)</f>
        <v>Projectvoorraad</v>
      </c>
      <c r="B6" t="s">
        <v>321</v>
      </c>
      <c r="C6" t="s">
        <v>322</v>
      </c>
      <c r="D6" t="s">
        <v>323</v>
      </c>
      <c r="E6" t="s">
        <v>150</v>
      </c>
      <c r="F6" t="s">
        <v>1691</v>
      </c>
      <c r="G6" t="s">
        <v>1839</v>
      </c>
      <c r="H6">
        <v>100</v>
      </c>
      <c r="I6">
        <v>50</v>
      </c>
      <c r="J6">
        <v>255</v>
      </c>
      <c r="K6">
        <v>0</v>
      </c>
      <c r="L6">
        <v>0</v>
      </c>
      <c r="M6">
        <v>255</v>
      </c>
      <c r="N6">
        <v>4.92</v>
      </c>
      <c r="O6" t="s">
        <v>142</v>
      </c>
      <c r="P6">
        <v>1254.98</v>
      </c>
    </row>
    <row r="7" spans="1:16">
      <c r="A7" s="42" t="str">
        <f>VLOOKUP(E7,'Soort voorraad'!A:B,2,FALSE)</f>
        <v>Projectvoorraad</v>
      </c>
      <c r="B7" t="s">
        <v>321</v>
      </c>
      <c r="C7" t="s">
        <v>322</v>
      </c>
      <c r="D7" t="s">
        <v>323</v>
      </c>
      <c r="E7" t="s">
        <v>149</v>
      </c>
      <c r="F7" t="s">
        <v>1692</v>
      </c>
      <c r="G7" t="s">
        <v>1839</v>
      </c>
      <c r="H7">
        <v>100</v>
      </c>
      <c r="I7">
        <v>30</v>
      </c>
      <c r="J7">
        <v>58</v>
      </c>
      <c r="K7">
        <v>0</v>
      </c>
      <c r="L7">
        <v>0</v>
      </c>
      <c r="M7">
        <v>58</v>
      </c>
      <c r="N7">
        <v>7.5</v>
      </c>
      <c r="O7" t="s">
        <v>142</v>
      </c>
      <c r="P7">
        <v>435.25</v>
      </c>
    </row>
    <row r="8" spans="1:16">
      <c r="A8" s="42" t="str">
        <f>VLOOKUP(E8,'Soort voorraad'!A:B,2,FALSE)</f>
        <v>Projectvoorraad</v>
      </c>
      <c r="B8" t="s">
        <v>321</v>
      </c>
      <c r="C8" t="s">
        <v>322</v>
      </c>
      <c r="D8" t="s">
        <v>323</v>
      </c>
      <c r="E8" t="s">
        <v>1840</v>
      </c>
      <c r="F8" t="s">
        <v>2315</v>
      </c>
      <c r="G8" t="s">
        <v>1839</v>
      </c>
      <c r="H8">
        <v>100</v>
      </c>
      <c r="I8">
        <v>30</v>
      </c>
      <c r="J8">
        <v>46</v>
      </c>
      <c r="K8">
        <v>0</v>
      </c>
      <c r="L8">
        <v>0</v>
      </c>
      <c r="M8">
        <v>46</v>
      </c>
      <c r="N8">
        <v>16.64</v>
      </c>
      <c r="O8" t="s">
        <v>142</v>
      </c>
      <c r="P8">
        <v>765.36</v>
      </c>
    </row>
    <row r="9" spans="1:16">
      <c r="A9" s="42" t="str">
        <f>VLOOKUP(E9,'Soort voorraad'!A:B,2,FALSE)</f>
        <v>Projectvoorraad</v>
      </c>
      <c r="B9" t="s">
        <v>321</v>
      </c>
      <c r="C9" t="s">
        <v>322</v>
      </c>
      <c r="D9" t="s">
        <v>323</v>
      </c>
      <c r="E9" t="s">
        <v>2406</v>
      </c>
      <c r="F9" t="s">
        <v>2407</v>
      </c>
      <c r="G9" t="s">
        <v>1839</v>
      </c>
      <c r="H9">
        <v>50</v>
      </c>
      <c r="I9">
        <v>20</v>
      </c>
      <c r="J9">
        <v>38</v>
      </c>
      <c r="K9">
        <v>0</v>
      </c>
      <c r="L9">
        <v>0</v>
      </c>
      <c r="M9">
        <v>38</v>
      </c>
      <c r="N9">
        <v>8.7799999999999994</v>
      </c>
      <c r="O9" t="s">
        <v>142</v>
      </c>
      <c r="P9">
        <v>333.61</v>
      </c>
    </row>
    <row r="10" spans="1:16">
      <c r="A10" s="42" t="str">
        <f>VLOOKUP(E10,'Soort voorraad'!A:B,2,FALSE)</f>
        <v>Projectvoorraad</v>
      </c>
      <c r="B10" t="s">
        <v>321</v>
      </c>
      <c r="C10" t="s">
        <v>322</v>
      </c>
      <c r="D10" t="s">
        <v>323</v>
      </c>
      <c r="E10" t="s">
        <v>2408</v>
      </c>
      <c r="F10" t="s">
        <v>2409</v>
      </c>
      <c r="G10" t="s">
        <v>1839</v>
      </c>
      <c r="H10">
        <v>50</v>
      </c>
      <c r="I10">
        <v>20</v>
      </c>
      <c r="J10">
        <v>36</v>
      </c>
      <c r="K10">
        <v>0</v>
      </c>
      <c r="L10">
        <v>0</v>
      </c>
      <c r="M10">
        <v>36</v>
      </c>
      <c r="N10">
        <v>5.44</v>
      </c>
      <c r="O10" t="s">
        <v>142</v>
      </c>
      <c r="P10">
        <v>195.66</v>
      </c>
    </row>
    <row r="11" spans="1:16">
      <c r="A11" s="42" t="str">
        <f>VLOOKUP(E11,'Soort voorraad'!A:B,2,FALSE)</f>
        <v>Projectvoorraad</v>
      </c>
      <c r="B11" t="s">
        <v>321</v>
      </c>
      <c r="C11" t="s">
        <v>322</v>
      </c>
      <c r="D11" t="s">
        <v>323</v>
      </c>
      <c r="E11" t="s">
        <v>137</v>
      </c>
      <c r="F11" t="s">
        <v>1036</v>
      </c>
      <c r="G11" t="s">
        <v>1839</v>
      </c>
      <c r="H11">
        <v>50</v>
      </c>
      <c r="I11">
        <v>10</v>
      </c>
      <c r="J11">
        <v>53</v>
      </c>
      <c r="K11">
        <v>0</v>
      </c>
      <c r="L11">
        <v>0</v>
      </c>
      <c r="M11">
        <v>53</v>
      </c>
      <c r="N11">
        <v>29.99</v>
      </c>
      <c r="O11" t="s">
        <v>121</v>
      </c>
      <c r="P11">
        <v>1589.47</v>
      </c>
    </row>
    <row r="12" spans="1:16">
      <c r="A12" s="42" t="str">
        <f>VLOOKUP(E12,'Soort voorraad'!A:B,2,FALSE)</f>
        <v>Projectvoorraad</v>
      </c>
      <c r="B12" t="s">
        <v>321</v>
      </c>
      <c r="C12" t="s">
        <v>322</v>
      </c>
      <c r="D12" t="s">
        <v>323</v>
      </c>
      <c r="E12" t="s">
        <v>172</v>
      </c>
      <c r="F12" t="s">
        <v>1039</v>
      </c>
      <c r="G12" t="s">
        <v>1839</v>
      </c>
      <c r="H12">
        <v>2</v>
      </c>
      <c r="I12">
        <v>1</v>
      </c>
      <c r="J12">
        <v>1</v>
      </c>
      <c r="K12">
        <v>0</v>
      </c>
      <c r="L12">
        <v>0</v>
      </c>
      <c r="M12">
        <v>1</v>
      </c>
      <c r="N12">
        <v>149.94999999999999</v>
      </c>
      <c r="O12" t="s">
        <v>121</v>
      </c>
      <c r="P12">
        <v>149.94999999999999</v>
      </c>
    </row>
    <row r="13" spans="1:16">
      <c r="A13" s="42" t="str">
        <f>VLOOKUP(E13,'Soort voorraad'!A:B,2,FALSE)</f>
        <v>Projectvoorraad</v>
      </c>
      <c r="B13" t="s">
        <v>321</v>
      </c>
      <c r="C13" t="s">
        <v>322</v>
      </c>
      <c r="D13" t="s">
        <v>323</v>
      </c>
      <c r="E13" t="s">
        <v>181</v>
      </c>
      <c r="F13" t="s">
        <v>1040</v>
      </c>
      <c r="G13" t="s">
        <v>1839</v>
      </c>
      <c r="H13">
        <v>5</v>
      </c>
      <c r="I13">
        <v>3</v>
      </c>
      <c r="J13">
        <v>7</v>
      </c>
      <c r="K13">
        <v>0</v>
      </c>
      <c r="L13">
        <v>0</v>
      </c>
      <c r="M13">
        <v>7</v>
      </c>
      <c r="N13">
        <v>165.35</v>
      </c>
      <c r="O13" t="s">
        <v>121</v>
      </c>
      <c r="P13">
        <v>1157.43</v>
      </c>
    </row>
    <row r="14" spans="1:16">
      <c r="A14" s="42" t="str">
        <f>VLOOKUP(E14,'Soort voorraad'!A:B,2,FALSE)</f>
        <v>Projectvoorraad</v>
      </c>
      <c r="B14" t="s">
        <v>321</v>
      </c>
      <c r="C14" t="s">
        <v>322</v>
      </c>
      <c r="D14" t="s">
        <v>323</v>
      </c>
      <c r="E14" t="s">
        <v>171</v>
      </c>
      <c r="F14" t="s">
        <v>1041</v>
      </c>
      <c r="G14" t="s">
        <v>1839</v>
      </c>
      <c r="H14">
        <v>1</v>
      </c>
      <c r="I14">
        <v>1</v>
      </c>
      <c r="J14">
        <v>2</v>
      </c>
      <c r="K14">
        <v>0</v>
      </c>
      <c r="L14">
        <v>0</v>
      </c>
      <c r="M14">
        <v>2</v>
      </c>
      <c r="N14">
        <v>245.04</v>
      </c>
      <c r="O14" t="s">
        <v>121</v>
      </c>
      <c r="P14">
        <v>490.08</v>
      </c>
    </row>
    <row r="15" spans="1:16">
      <c r="A15" s="42" t="str">
        <f>VLOOKUP(E15,'Soort voorraad'!A:B,2,FALSE)</f>
        <v>Projectvoorraad</v>
      </c>
      <c r="B15" t="s">
        <v>321</v>
      </c>
      <c r="C15" t="s">
        <v>322</v>
      </c>
      <c r="D15" t="s">
        <v>323</v>
      </c>
      <c r="E15" t="s">
        <v>173</v>
      </c>
      <c r="F15" t="s">
        <v>1043</v>
      </c>
      <c r="G15" t="s">
        <v>1839</v>
      </c>
      <c r="H15">
        <v>5</v>
      </c>
      <c r="I15">
        <v>3</v>
      </c>
      <c r="J15">
        <v>4</v>
      </c>
      <c r="K15">
        <v>0</v>
      </c>
      <c r="L15">
        <v>0</v>
      </c>
      <c r="M15">
        <v>4</v>
      </c>
      <c r="N15">
        <v>91.43</v>
      </c>
      <c r="O15" t="s">
        <v>121</v>
      </c>
      <c r="P15">
        <v>365.73</v>
      </c>
    </row>
    <row r="16" spans="1:16">
      <c r="A16" s="42" t="str">
        <f>VLOOKUP(E16,'Soort voorraad'!A:B,2,FALSE)</f>
        <v>Projectvoorraad</v>
      </c>
      <c r="B16" t="s">
        <v>321</v>
      </c>
      <c r="C16" t="s">
        <v>322</v>
      </c>
      <c r="D16" t="s">
        <v>323</v>
      </c>
      <c r="E16" t="s">
        <v>184</v>
      </c>
      <c r="F16" t="s">
        <v>1044</v>
      </c>
      <c r="G16" t="s">
        <v>1839</v>
      </c>
      <c r="H16">
        <v>10</v>
      </c>
      <c r="I16">
        <v>5</v>
      </c>
      <c r="J16">
        <v>9</v>
      </c>
      <c r="K16">
        <v>0</v>
      </c>
      <c r="L16">
        <v>0</v>
      </c>
      <c r="M16">
        <v>9</v>
      </c>
      <c r="N16">
        <v>98.18</v>
      </c>
      <c r="O16" t="s">
        <v>121</v>
      </c>
      <c r="P16">
        <v>883.59</v>
      </c>
    </row>
    <row r="17" spans="1:16">
      <c r="A17" s="42" t="str">
        <f>VLOOKUP(E17,'Soort voorraad'!A:B,2,FALSE)</f>
        <v>Projectvoorraad</v>
      </c>
      <c r="B17" t="s">
        <v>321</v>
      </c>
      <c r="C17" t="s">
        <v>322</v>
      </c>
      <c r="D17" t="s">
        <v>323</v>
      </c>
      <c r="E17" t="s">
        <v>175</v>
      </c>
      <c r="F17" t="s">
        <v>1045</v>
      </c>
      <c r="G17" t="s">
        <v>1839</v>
      </c>
      <c r="H17">
        <v>8</v>
      </c>
      <c r="I17">
        <v>4</v>
      </c>
      <c r="J17">
        <v>16</v>
      </c>
      <c r="K17">
        <v>0</v>
      </c>
      <c r="L17">
        <v>0</v>
      </c>
      <c r="M17">
        <v>16</v>
      </c>
      <c r="N17">
        <v>101.66</v>
      </c>
      <c r="O17" t="s">
        <v>121</v>
      </c>
      <c r="P17">
        <v>1626.56</v>
      </c>
    </row>
    <row r="18" spans="1:16">
      <c r="A18" s="42" t="str">
        <f>VLOOKUP(E18,'Soort voorraad'!A:B,2,FALSE)</f>
        <v>Projectvoorraad</v>
      </c>
      <c r="B18" t="s">
        <v>321</v>
      </c>
      <c r="C18" t="s">
        <v>322</v>
      </c>
      <c r="D18" t="s">
        <v>323</v>
      </c>
      <c r="E18" t="s">
        <v>177</v>
      </c>
      <c r="F18" t="s">
        <v>1046</v>
      </c>
      <c r="G18" t="s">
        <v>1839</v>
      </c>
      <c r="H18">
        <v>7</v>
      </c>
      <c r="I18">
        <v>3</v>
      </c>
      <c r="J18">
        <v>7</v>
      </c>
      <c r="K18">
        <v>0</v>
      </c>
      <c r="L18">
        <v>0</v>
      </c>
      <c r="M18">
        <v>7</v>
      </c>
      <c r="N18">
        <v>58.29</v>
      </c>
      <c r="O18" t="s">
        <v>121</v>
      </c>
      <c r="P18">
        <v>408.03</v>
      </c>
    </row>
    <row r="19" spans="1:16">
      <c r="A19" s="42" t="str">
        <f>VLOOKUP(E19,'Soort voorraad'!A:B,2,FALSE)</f>
        <v>Projectvoorraad</v>
      </c>
      <c r="B19" t="s">
        <v>321</v>
      </c>
      <c r="C19" t="s">
        <v>322</v>
      </c>
      <c r="D19" t="s">
        <v>323</v>
      </c>
      <c r="E19" t="s">
        <v>179</v>
      </c>
      <c r="F19" t="s">
        <v>1047</v>
      </c>
      <c r="G19" t="s">
        <v>1839</v>
      </c>
      <c r="H19">
        <v>3</v>
      </c>
      <c r="I19">
        <v>0</v>
      </c>
      <c r="J19">
        <v>3</v>
      </c>
      <c r="K19">
        <v>0</v>
      </c>
      <c r="L19">
        <v>0</v>
      </c>
      <c r="M19">
        <v>3</v>
      </c>
      <c r="N19">
        <v>134.93</v>
      </c>
      <c r="O19" t="s">
        <v>121</v>
      </c>
      <c r="P19">
        <v>404.78</v>
      </c>
    </row>
    <row r="20" spans="1:16">
      <c r="A20" s="42" t="str">
        <f>VLOOKUP(E20,'Soort voorraad'!A:B,2,FALSE)</f>
        <v>Projectvoorraad</v>
      </c>
      <c r="B20" t="s">
        <v>321</v>
      </c>
      <c r="C20" t="s">
        <v>322</v>
      </c>
      <c r="D20" t="s">
        <v>323</v>
      </c>
      <c r="E20" t="s">
        <v>174</v>
      </c>
      <c r="F20" t="s">
        <v>1048</v>
      </c>
      <c r="G20" t="s">
        <v>1839</v>
      </c>
      <c r="H20">
        <v>10</v>
      </c>
      <c r="I20">
        <v>5</v>
      </c>
      <c r="J20">
        <v>6</v>
      </c>
      <c r="K20">
        <v>0</v>
      </c>
      <c r="L20">
        <v>0</v>
      </c>
      <c r="M20">
        <v>6</v>
      </c>
      <c r="N20">
        <v>89.03</v>
      </c>
      <c r="O20" t="s">
        <v>121</v>
      </c>
      <c r="P20">
        <v>534.15</v>
      </c>
    </row>
    <row r="21" spans="1:16">
      <c r="A21" s="42" t="str">
        <f>VLOOKUP(E21,'Soort voorraad'!A:B,2,FALSE)</f>
        <v>Projectvoorraad</v>
      </c>
      <c r="B21" t="s">
        <v>321</v>
      </c>
      <c r="C21" t="s">
        <v>322</v>
      </c>
      <c r="D21" t="s">
        <v>323</v>
      </c>
      <c r="E21" t="s">
        <v>176</v>
      </c>
      <c r="F21" t="s">
        <v>1053</v>
      </c>
      <c r="G21" t="s">
        <v>1839</v>
      </c>
      <c r="H21">
        <v>5</v>
      </c>
      <c r="I21">
        <v>3</v>
      </c>
      <c r="J21">
        <v>4</v>
      </c>
      <c r="K21">
        <v>0</v>
      </c>
      <c r="L21">
        <v>0</v>
      </c>
      <c r="M21">
        <v>4</v>
      </c>
      <c r="N21">
        <v>68</v>
      </c>
      <c r="O21" t="s">
        <v>121</v>
      </c>
      <c r="P21">
        <v>272</v>
      </c>
    </row>
    <row r="22" spans="1:16">
      <c r="A22" s="42" t="str">
        <f>VLOOKUP(E22,'Soort voorraad'!A:B,2,FALSE)</f>
        <v>Projectvoorraad</v>
      </c>
      <c r="B22" t="s">
        <v>321</v>
      </c>
      <c r="C22" t="s">
        <v>322</v>
      </c>
      <c r="D22" t="s">
        <v>323</v>
      </c>
      <c r="E22" t="s">
        <v>238</v>
      </c>
      <c r="F22" t="s">
        <v>1055</v>
      </c>
      <c r="G22" t="s">
        <v>1839</v>
      </c>
      <c r="H22">
        <v>0</v>
      </c>
      <c r="I22">
        <v>0</v>
      </c>
      <c r="J22">
        <v>97.34</v>
      </c>
      <c r="K22">
        <v>0</v>
      </c>
      <c r="L22">
        <v>0</v>
      </c>
      <c r="M22">
        <v>97.34</v>
      </c>
      <c r="N22">
        <v>24.55</v>
      </c>
      <c r="O22" t="s">
        <v>241</v>
      </c>
      <c r="P22">
        <v>2389.4899999999998</v>
      </c>
    </row>
    <row r="23" spans="1:16">
      <c r="A23" s="42" t="str">
        <f>VLOOKUP(E23,'Soort voorraad'!A:B,2,FALSE)</f>
        <v>Grijpvoorraad</v>
      </c>
      <c r="B23" t="s">
        <v>321</v>
      </c>
      <c r="C23" t="s">
        <v>322</v>
      </c>
      <c r="D23" t="s">
        <v>323</v>
      </c>
      <c r="E23" t="s">
        <v>1056</v>
      </c>
      <c r="F23" t="s">
        <v>1057</v>
      </c>
      <c r="G23" t="s">
        <v>1839</v>
      </c>
      <c r="H23">
        <v>0</v>
      </c>
      <c r="I23">
        <v>0</v>
      </c>
      <c r="J23">
        <v>3</v>
      </c>
      <c r="K23">
        <v>0</v>
      </c>
      <c r="L23">
        <v>0</v>
      </c>
      <c r="M23">
        <v>3</v>
      </c>
      <c r="N23">
        <v>28.78</v>
      </c>
      <c r="O23" t="s">
        <v>1058</v>
      </c>
      <c r="P23">
        <v>86.33</v>
      </c>
    </row>
    <row r="24" spans="1:16">
      <c r="A24" s="42" t="str">
        <f>VLOOKUP(E24,'Soort voorraad'!A:B,2,FALSE)</f>
        <v>Projectvoorraad</v>
      </c>
      <c r="B24" t="s">
        <v>321</v>
      </c>
      <c r="C24" t="s">
        <v>322</v>
      </c>
      <c r="D24" t="s">
        <v>323</v>
      </c>
      <c r="E24" t="s">
        <v>239</v>
      </c>
      <c r="F24" t="s">
        <v>1059</v>
      </c>
      <c r="G24" t="s">
        <v>1839</v>
      </c>
      <c r="H24">
        <v>0</v>
      </c>
      <c r="I24">
        <v>0</v>
      </c>
      <c r="J24">
        <v>290.55</v>
      </c>
      <c r="K24">
        <v>0</v>
      </c>
      <c r="L24">
        <v>0</v>
      </c>
      <c r="M24">
        <v>290.55</v>
      </c>
      <c r="N24">
        <v>50.23</v>
      </c>
      <c r="O24" t="s">
        <v>241</v>
      </c>
      <c r="P24">
        <v>14594.6</v>
      </c>
    </row>
    <row r="25" spans="1:16">
      <c r="A25" s="42" t="str">
        <f>VLOOKUP(E25,'Soort voorraad'!A:B,2,FALSE)</f>
        <v>Grijpvoorraad</v>
      </c>
      <c r="B25" t="s">
        <v>321</v>
      </c>
      <c r="C25" t="s">
        <v>322</v>
      </c>
      <c r="D25" t="s">
        <v>323</v>
      </c>
      <c r="E25" t="s">
        <v>1060</v>
      </c>
      <c r="F25" t="s">
        <v>1061</v>
      </c>
      <c r="G25" t="s">
        <v>1839</v>
      </c>
      <c r="H25">
        <v>0</v>
      </c>
      <c r="I25">
        <v>0</v>
      </c>
      <c r="J25">
        <v>10</v>
      </c>
      <c r="K25">
        <v>0</v>
      </c>
      <c r="L25">
        <v>0</v>
      </c>
      <c r="M25">
        <v>10</v>
      </c>
      <c r="N25">
        <v>34</v>
      </c>
      <c r="O25" t="s">
        <v>1058</v>
      </c>
      <c r="P25">
        <v>340</v>
      </c>
    </row>
    <row r="26" spans="1:16">
      <c r="A26" s="42" t="str">
        <f>VLOOKUP(E26,'Soort voorraad'!A:B,2,FALSE)</f>
        <v>Projectvoorraad</v>
      </c>
      <c r="B26" t="s">
        <v>321</v>
      </c>
      <c r="C26" t="s">
        <v>322</v>
      </c>
      <c r="D26" t="s">
        <v>323</v>
      </c>
      <c r="E26" t="s">
        <v>139</v>
      </c>
      <c r="F26" t="s">
        <v>1697</v>
      </c>
      <c r="G26" t="s">
        <v>1839</v>
      </c>
      <c r="H26">
        <v>0</v>
      </c>
      <c r="I26">
        <v>0</v>
      </c>
      <c r="J26">
        <v>161</v>
      </c>
      <c r="K26">
        <v>0</v>
      </c>
      <c r="L26">
        <v>0</v>
      </c>
      <c r="M26">
        <v>161</v>
      </c>
      <c r="N26">
        <v>9.74</v>
      </c>
      <c r="O26" t="s">
        <v>121</v>
      </c>
      <c r="P26">
        <v>1568.14</v>
      </c>
    </row>
    <row r="27" spans="1:16">
      <c r="A27" s="42" t="str">
        <f>VLOOKUP(E27,'Soort voorraad'!A:B,2,FALSE)</f>
        <v>Projectvoorraad</v>
      </c>
      <c r="B27" t="s">
        <v>321</v>
      </c>
      <c r="C27" t="s">
        <v>322</v>
      </c>
      <c r="D27" t="s">
        <v>323</v>
      </c>
      <c r="E27" t="s">
        <v>144</v>
      </c>
      <c r="F27" t="s">
        <v>1698</v>
      </c>
      <c r="G27" t="s">
        <v>1839</v>
      </c>
      <c r="H27">
        <v>675</v>
      </c>
      <c r="I27">
        <v>125</v>
      </c>
      <c r="J27">
        <v>1048</v>
      </c>
      <c r="K27">
        <v>250</v>
      </c>
      <c r="L27">
        <v>0</v>
      </c>
      <c r="M27">
        <v>1298</v>
      </c>
      <c r="N27">
        <v>4.4800000000000004</v>
      </c>
      <c r="O27" t="s">
        <v>142</v>
      </c>
      <c r="P27">
        <v>4691.29</v>
      </c>
    </row>
    <row r="28" spans="1:16">
      <c r="A28" s="42" t="str">
        <f>VLOOKUP(E28,'Soort voorraad'!A:B,2,FALSE)</f>
        <v>Projectvoorraad</v>
      </c>
      <c r="B28" t="s">
        <v>321</v>
      </c>
      <c r="C28" t="s">
        <v>322</v>
      </c>
      <c r="D28" t="s">
        <v>323</v>
      </c>
      <c r="E28" t="s">
        <v>146</v>
      </c>
      <c r="F28" t="s">
        <v>1700</v>
      </c>
      <c r="G28" t="s">
        <v>1839</v>
      </c>
      <c r="H28">
        <v>250</v>
      </c>
      <c r="I28">
        <v>125</v>
      </c>
      <c r="J28">
        <v>327</v>
      </c>
      <c r="K28">
        <v>250</v>
      </c>
      <c r="L28">
        <v>0</v>
      </c>
      <c r="M28">
        <v>577</v>
      </c>
      <c r="N28">
        <v>8.16</v>
      </c>
      <c r="O28" t="s">
        <v>142</v>
      </c>
      <c r="P28">
        <v>2667.11</v>
      </c>
    </row>
    <row r="29" spans="1:16">
      <c r="A29" s="42" t="str">
        <f>VLOOKUP(E29,'Soort voorraad'!A:B,2,FALSE)</f>
        <v>Projectvoorraad</v>
      </c>
      <c r="B29" t="s">
        <v>321</v>
      </c>
      <c r="C29" t="s">
        <v>322</v>
      </c>
      <c r="D29" t="s">
        <v>323</v>
      </c>
      <c r="E29" t="s">
        <v>143</v>
      </c>
      <c r="F29" t="s">
        <v>1702</v>
      </c>
      <c r="G29" t="s">
        <v>1839</v>
      </c>
      <c r="H29">
        <v>75</v>
      </c>
      <c r="I29">
        <v>25</v>
      </c>
      <c r="J29">
        <v>55</v>
      </c>
      <c r="K29">
        <v>0</v>
      </c>
      <c r="L29">
        <v>0</v>
      </c>
      <c r="M29">
        <v>55</v>
      </c>
      <c r="N29">
        <v>7.25</v>
      </c>
      <c r="O29" t="s">
        <v>142</v>
      </c>
      <c r="P29">
        <v>398.48</v>
      </c>
    </row>
    <row r="30" spans="1:16">
      <c r="A30" s="42" t="str">
        <f>VLOOKUP(E30,'Soort voorraad'!A:B,2,FALSE)</f>
        <v>Projectvoorraad</v>
      </c>
      <c r="B30" t="s">
        <v>321</v>
      </c>
      <c r="C30" t="s">
        <v>322</v>
      </c>
      <c r="D30" t="s">
        <v>323</v>
      </c>
      <c r="E30" t="s">
        <v>255</v>
      </c>
      <c r="F30" t="s">
        <v>1066</v>
      </c>
      <c r="G30" t="s">
        <v>1839</v>
      </c>
      <c r="H30">
        <v>50</v>
      </c>
      <c r="I30">
        <v>10</v>
      </c>
      <c r="J30">
        <v>18</v>
      </c>
      <c r="K30">
        <v>0</v>
      </c>
      <c r="L30">
        <v>0</v>
      </c>
      <c r="M30">
        <v>18</v>
      </c>
      <c r="N30">
        <v>24.58</v>
      </c>
      <c r="O30" t="s">
        <v>121</v>
      </c>
      <c r="P30">
        <v>442.49</v>
      </c>
    </row>
    <row r="31" spans="1:16">
      <c r="A31" s="42" t="str">
        <f>VLOOKUP(E31,'Soort voorraad'!A:B,2,FALSE)</f>
        <v>Projectvoorraad</v>
      </c>
      <c r="B31" t="s">
        <v>321</v>
      </c>
      <c r="C31" t="s">
        <v>322</v>
      </c>
      <c r="D31" t="s">
        <v>323</v>
      </c>
      <c r="E31" t="s">
        <v>2410</v>
      </c>
      <c r="F31" t="s">
        <v>2411</v>
      </c>
      <c r="G31" t="s">
        <v>1839</v>
      </c>
      <c r="H31">
        <v>50</v>
      </c>
      <c r="I31">
        <v>10</v>
      </c>
      <c r="J31">
        <v>94</v>
      </c>
      <c r="K31">
        <v>0</v>
      </c>
      <c r="L31">
        <v>0</v>
      </c>
      <c r="M31">
        <v>94</v>
      </c>
      <c r="N31">
        <v>10.18</v>
      </c>
      <c r="O31" t="s">
        <v>121</v>
      </c>
      <c r="P31">
        <v>957.3</v>
      </c>
    </row>
    <row r="32" spans="1:16">
      <c r="A32" s="42" t="str">
        <f>VLOOKUP(E32,'Soort voorraad'!A:B,2,FALSE)</f>
        <v>Projectvoorraad</v>
      </c>
      <c r="B32" t="s">
        <v>321</v>
      </c>
      <c r="C32" t="s">
        <v>322</v>
      </c>
      <c r="D32" t="s">
        <v>323</v>
      </c>
      <c r="E32" t="s">
        <v>256</v>
      </c>
      <c r="F32" t="s">
        <v>2316</v>
      </c>
      <c r="G32" t="s">
        <v>1839</v>
      </c>
      <c r="H32">
        <v>50</v>
      </c>
      <c r="I32">
        <v>10</v>
      </c>
      <c r="J32">
        <v>14</v>
      </c>
      <c r="K32">
        <v>0</v>
      </c>
      <c r="L32">
        <v>0</v>
      </c>
      <c r="M32">
        <v>14</v>
      </c>
      <c r="N32">
        <v>43.5</v>
      </c>
      <c r="O32" t="s">
        <v>121</v>
      </c>
      <c r="P32">
        <v>609</v>
      </c>
    </row>
    <row r="33" spans="1:16">
      <c r="A33" s="42" t="str">
        <f>VLOOKUP(E33,'Soort voorraad'!A:B,2,FALSE)</f>
        <v>Projectvoorraad</v>
      </c>
      <c r="B33" t="s">
        <v>321</v>
      </c>
      <c r="C33" t="s">
        <v>322</v>
      </c>
      <c r="D33" t="s">
        <v>323</v>
      </c>
      <c r="E33" t="s">
        <v>145</v>
      </c>
      <c r="F33" t="s">
        <v>1703</v>
      </c>
      <c r="G33" t="s">
        <v>1839</v>
      </c>
      <c r="H33">
        <v>375</v>
      </c>
      <c r="I33">
        <v>125</v>
      </c>
      <c r="J33">
        <v>687</v>
      </c>
      <c r="K33">
        <v>0</v>
      </c>
      <c r="L33">
        <v>0</v>
      </c>
      <c r="M33">
        <v>687</v>
      </c>
      <c r="N33">
        <v>5.77</v>
      </c>
      <c r="O33" t="s">
        <v>142</v>
      </c>
      <c r="P33">
        <v>3963.57</v>
      </c>
    </row>
    <row r="34" spans="1:16">
      <c r="A34" s="42" t="str">
        <f>VLOOKUP(E34,'Soort voorraad'!A:B,2,FALSE)</f>
        <v>Projectvoorraad</v>
      </c>
      <c r="B34" t="s">
        <v>321</v>
      </c>
      <c r="C34" t="s">
        <v>322</v>
      </c>
      <c r="D34" t="s">
        <v>323</v>
      </c>
      <c r="E34" t="s">
        <v>2477</v>
      </c>
      <c r="F34" t="s">
        <v>2478</v>
      </c>
      <c r="G34" t="s">
        <v>1839</v>
      </c>
      <c r="H34">
        <v>0</v>
      </c>
      <c r="I34">
        <v>0</v>
      </c>
      <c r="J34">
        <v>0</v>
      </c>
      <c r="K34">
        <v>5000</v>
      </c>
      <c r="L34">
        <v>0</v>
      </c>
      <c r="M34">
        <v>5000</v>
      </c>
      <c r="N34">
        <v>2.12</v>
      </c>
      <c r="O34" t="s">
        <v>142</v>
      </c>
      <c r="P34">
        <v>0</v>
      </c>
    </row>
    <row r="35" spans="1:16">
      <c r="A35" s="42" t="str">
        <f>VLOOKUP(E35,'Soort voorraad'!A:B,2,FALSE)</f>
        <v>Grijpvoorraad</v>
      </c>
      <c r="B35" t="s">
        <v>321</v>
      </c>
      <c r="C35" t="s">
        <v>322</v>
      </c>
      <c r="D35" t="s">
        <v>323</v>
      </c>
      <c r="E35" t="s">
        <v>259</v>
      </c>
      <c r="F35" t="s">
        <v>541</v>
      </c>
      <c r="G35" t="s">
        <v>2451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2.2200000000000002</v>
      </c>
      <c r="O35" t="s">
        <v>121</v>
      </c>
      <c r="P35">
        <v>0</v>
      </c>
    </row>
    <row r="36" spans="1:16">
      <c r="A36" s="42" t="str">
        <f>VLOOKUP(E36,'Soort voorraad'!A:B,2,FALSE)</f>
        <v>Grijpvoorraad</v>
      </c>
      <c r="B36" t="s">
        <v>321</v>
      </c>
      <c r="C36" t="s">
        <v>322</v>
      </c>
      <c r="D36" t="s">
        <v>323</v>
      </c>
      <c r="E36" t="s">
        <v>1768</v>
      </c>
      <c r="F36" t="s">
        <v>1769</v>
      </c>
      <c r="G36" t="s">
        <v>1841</v>
      </c>
      <c r="H36">
        <v>20</v>
      </c>
      <c r="I36">
        <v>10</v>
      </c>
      <c r="J36">
        <v>60</v>
      </c>
      <c r="K36">
        <v>0</v>
      </c>
      <c r="L36">
        <v>0</v>
      </c>
      <c r="M36">
        <v>60</v>
      </c>
      <c r="N36">
        <v>0.93</v>
      </c>
      <c r="O36" t="s">
        <v>1770</v>
      </c>
      <c r="P36">
        <v>55.65</v>
      </c>
    </row>
    <row r="37" spans="1:16">
      <c r="A37" s="42" t="str">
        <f>VLOOKUP(E37,'Soort voorraad'!A:B,2,FALSE)</f>
        <v>Projectvoorraad</v>
      </c>
      <c r="B37" t="s">
        <v>321</v>
      </c>
      <c r="C37" t="s">
        <v>322</v>
      </c>
      <c r="D37" t="s">
        <v>323</v>
      </c>
      <c r="E37" t="s">
        <v>180</v>
      </c>
      <c r="F37" t="s">
        <v>1042</v>
      </c>
      <c r="G37" t="s">
        <v>1842</v>
      </c>
      <c r="H37">
        <v>2</v>
      </c>
      <c r="I37">
        <v>1</v>
      </c>
      <c r="J37">
        <v>2</v>
      </c>
      <c r="K37">
        <v>0</v>
      </c>
      <c r="L37">
        <v>0</v>
      </c>
      <c r="M37">
        <v>2</v>
      </c>
      <c r="N37">
        <v>194.73</v>
      </c>
      <c r="O37" t="s">
        <v>121</v>
      </c>
      <c r="P37">
        <v>389.46</v>
      </c>
    </row>
    <row r="38" spans="1:16">
      <c r="A38" s="42" t="str">
        <f>VLOOKUP(E38,'Soort voorraad'!A:B,2,FALSE)</f>
        <v>Projectvoorraad</v>
      </c>
      <c r="B38" t="s">
        <v>321</v>
      </c>
      <c r="C38" t="s">
        <v>322</v>
      </c>
      <c r="D38" t="s">
        <v>323</v>
      </c>
      <c r="E38" t="s">
        <v>140</v>
      </c>
      <c r="F38" t="s">
        <v>1049</v>
      </c>
      <c r="G38" t="s">
        <v>1843</v>
      </c>
      <c r="H38">
        <v>5</v>
      </c>
      <c r="I38">
        <v>1</v>
      </c>
      <c r="J38">
        <v>19</v>
      </c>
      <c r="K38">
        <v>0</v>
      </c>
      <c r="L38">
        <v>0</v>
      </c>
      <c r="M38">
        <v>19</v>
      </c>
      <c r="N38">
        <v>23.88</v>
      </c>
      <c r="O38" t="s">
        <v>121</v>
      </c>
      <c r="P38">
        <v>453.72</v>
      </c>
    </row>
    <row r="39" spans="1:16">
      <c r="A39" s="42" t="str">
        <f>VLOOKUP(E39,'Soort voorraad'!A:B,2,FALSE)</f>
        <v>Projectvoorraad</v>
      </c>
      <c r="B39" t="s">
        <v>321</v>
      </c>
      <c r="C39" t="s">
        <v>322</v>
      </c>
      <c r="D39" t="s">
        <v>323</v>
      </c>
      <c r="E39" t="s">
        <v>183</v>
      </c>
      <c r="F39" t="s">
        <v>1050</v>
      </c>
      <c r="G39" t="s">
        <v>1844</v>
      </c>
      <c r="H39">
        <v>5</v>
      </c>
      <c r="I39">
        <v>3</v>
      </c>
      <c r="J39">
        <v>5</v>
      </c>
      <c r="K39">
        <v>0</v>
      </c>
      <c r="L39">
        <v>0</v>
      </c>
      <c r="M39">
        <v>5</v>
      </c>
      <c r="N39">
        <v>95.46</v>
      </c>
      <c r="O39" t="s">
        <v>121</v>
      </c>
      <c r="P39">
        <v>477.3</v>
      </c>
    </row>
    <row r="40" spans="1:16">
      <c r="A40" s="42" t="str">
        <f>VLOOKUP(E40,'Soort voorraad'!A:B,2,FALSE)</f>
        <v>Projectvoorraad</v>
      </c>
      <c r="B40" t="s">
        <v>321</v>
      </c>
      <c r="C40" t="s">
        <v>322</v>
      </c>
      <c r="D40" t="s">
        <v>323</v>
      </c>
      <c r="E40" t="s">
        <v>182</v>
      </c>
      <c r="F40" t="s">
        <v>1051</v>
      </c>
      <c r="G40" t="s">
        <v>1845</v>
      </c>
      <c r="H40">
        <v>3</v>
      </c>
      <c r="I40">
        <v>2</v>
      </c>
      <c r="J40">
        <v>4</v>
      </c>
      <c r="K40">
        <v>0</v>
      </c>
      <c r="L40">
        <v>0</v>
      </c>
      <c r="M40">
        <v>4</v>
      </c>
      <c r="N40">
        <v>97.36</v>
      </c>
      <c r="O40" t="s">
        <v>121</v>
      </c>
      <c r="P40">
        <v>389.44</v>
      </c>
    </row>
    <row r="41" spans="1:16">
      <c r="A41" s="42" t="str">
        <f>VLOOKUP(E41,'Soort voorraad'!A:B,2,FALSE)</f>
        <v>Projectvoorraad</v>
      </c>
      <c r="B41" t="s">
        <v>321</v>
      </c>
      <c r="C41" t="s">
        <v>322</v>
      </c>
      <c r="D41" t="s">
        <v>323</v>
      </c>
      <c r="E41" t="s">
        <v>178</v>
      </c>
      <c r="F41" t="s">
        <v>1052</v>
      </c>
      <c r="G41" t="s">
        <v>1846</v>
      </c>
      <c r="H41">
        <v>2</v>
      </c>
      <c r="I41">
        <v>0</v>
      </c>
      <c r="J41">
        <v>0</v>
      </c>
      <c r="K41">
        <v>0</v>
      </c>
      <c r="L41">
        <v>0</v>
      </c>
      <c r="M41">
        <v>0</v>
      </c>
      <c r="N41">
        <v>87.27</v>
      </c>
      <c r="O41" t="s">
        <v>121</v>
      </c>
      <c r="P41">
        <v>0</v>
      </c>
    </row>
    <row r="42" spans="1:16">
      <c r="A42" s="42" t="str">
        <f>VLOOKUP(E42,'Soort voorraad'!A:B,2,FALSE)</f>
        <v>Grijpvoorraad</v>
      </c>
      <c r="B42" t="s">
        <v>321</v>
      </c>
      <c r="C42" t="s">
        <v>322</v>
      </c>
      <c r="D42" t="s">
        <v>323</v>
      </c>
      <c r="E42" t="s">
        <v>926</v>
      </c>
      <c r="F42" t="s">
        <v>927</v>
      </c>
      <c r="G42" t="s">
        <v>1847</v>
      </c>
      <c r="H42">
        <v>5</v>
      </c>
      <c r="I42">
        <v>3</v>
      </c>
      <c r="J42">
        <v>6</v>
      </c>
      <c r="K42">
        <v>0</v>
      </c>
      <c r="L42">
        <v>0</v>
      </c>
      <c r="M42">
        <v>6</v>
      </c>
      <c r="N42">
        <v>114.8</v>
      </c>
      <c r="O42" t="s">
        <v>241</v>
      </c>
      <c r="P42">
        <v>688.8</v>
      </c>
    </row>
    <row r="43" spans="1:16">
      <c r="A43" s="42" t="str">
        <f>VLOOKUP(E43,'Soort voorraad'!A:B,2,FALSE)</f>
        <v>Grijpvoorraad</v>
      </c>
      <c r="B43" t="s">
        <v>321</v>
      </c>
      <c r="C43" t="s">
        <v>322</v>
      </c>
      <c r="D43" t="s">
        <v>323</v>
      </c>
      <c r="E43" t="s">
        <v>928</v>
      </c>
      <c r="F43" t="s">
        <v>929</v>
      </c>
      <c r="G43" t="s">
        <v>1848</v>
      </c>
      <c r="H43">
        <v>5</v>
      </c>
      <c r="I43">
        <v>3</v>
      </c>
      <c r="J43">
        <v>4</v>
      </c>
      <c r="K43">
        <v>0</v>
      </c>
      <c r="L43">
        <v>0</v>
      </c>
      <c r="M43">
        <v>4</v>
      </c>
      <c r="N43">
        <v>182.18</v>
      </c>
      <c r="O43" t="s">
        <v>241</v>
      </c>
      <c r="P43">
        <v>728.7</v>
      </c>
    </row>
    <row r="44" spans="1:16">
      <c r="A44" s="42" t="str">
        <f>VLOOKUP(E44,'Soort voorraad'!A:B,2,FALSE)</f>
        <v>Projectvoorraad</v>
      </c>
      <c r="B44" t="s">
        <v>321</v>
      </c>
      <c r="C44" t="s">
        <v>322</v>
      </c>
      <c r="D44" t="s">
        <v>323</v>
      </c>
      <c r="E44" t="s">
        <v>193</v>
      </c>
      <c r="F44" t="s">
        <v>1003</v>
      </c>
      <c r="G44" t="s">
        <v>1849</v>
      </c>
      <c r="H44">
        <v>15</v>
      </c>
      <c r="I44">
        <v>5</v>
      </c>
      <c r="J44">
        <v>40</v>
      </c>
      <c r="K44">
        <v>0</v>
      </c>
      <c r="L44">
        <v>0</v>
      </c>
      <c r="M44">
        <v>40</v>
      </c>
      <c r="N44">
        <v>4.76</v>
      </c>
      <c r="O44" t="s">
        <v>121</v>
      </c>
      <c r="P44">
        <v>190.4</v>
      </c>
    </row>
    <row r="45" spans="1:16">
      <c r="A45" s="42" t="str">
        <f>VLOOKUP(E45,'Soort voorraad'!A:B,2,FALSE)</f>
        <v>Projectvoorraad</v>
      </c>
      <c r="B45" t="s">
        <v>321</v>
      </c>
      <c r="C45" t="s">
        <v>322</v>
      </c>
      <c r="D45" t="s">
        <v>323</v>
      </c>
      <c r="E45" t="s">
        <v>221</v>
      </c>
      <c r="F45" t="s">
        <v>1010</v>
      </c>
      <c r="G45" t="s">
        <v>1850</v>
      </c>
      <c r="H45">
        <v>15</v>
      </c>
      <c r="I45">
        <v>5</v>
      </c>
      <c r="J45">
        <v>42</v>
      </c>
      <c r="K45">
        <v>0</v>
      </c>
      <c r="L45">
        <v>0</v>
      </c>
      <c r="M45">
        <v>42</v>
      </c>
      <c r="N45">
        <v>7.19</v>
      </c>
      <c r="O45" t="s">
        <v>121</v>
      </c>
      <c r="P45">
        <v>301.98</v>
      </c>
    </row>
    <row r="46" spans="1:16">
      <c r="A46" s="42" t="str">
        <f>VLOOKUP(E46,'Soort voorraad'!A:B,2,FALSE)</f>
        <v>Projectvoorraad</v>
      </c>
      <c r="B46" t="s">
        <v>321</v>
      </c>
      <c r="C46" t="s">
        <v>322</v>
      </c>
      <c r="D46" t="s">
        <v>323</v>
      </c>
      <c r="E46" t="s">
        <v>1851</v>
      </c>
      <c r="F46" t="s">
        <v>1852</v>
      </c>
      <c r="G46" t="s">
        <v>1853</v>
      </c>
      <c r="H46">
        <v>15</v>
      </c>
      <c r="I46">
        <v>10</v>
      </c>
      <c r="J46">
        <v>16</v>
      </c>
      <c r="K46">
        <v>0</v>
      </c>
      <c r="L46">
        <v>0</v>
      </c>
      <c r="M46">
        <v>16</v>
      </c>
      <c r="N46">
        <v>3.03</v>
      </c>
      <c r="O46" t="s">
        <v>121</v>
      </c>
      <c r="P46">
        <v>48.48</v>
      </c>
    </row>
    <row r="47" spans="1:16">
      <c r="A47" s="42" t="str">
        <f>VLOOKUP(E47,'Soort voorraad'!A:B,2,FALSE)</f>
        <v>Projectvoorraad</v>
      </c>
      <c r="B47" t="s">
        <v>321</v>
      </c>
      <c r="C47" t="s">
        <v>322</v>
      </c>
      <c r="D47" t="s">
        <v>323</v>
      </c>
      <c r="E47" t="s">
        <v>2317</v>
      </c>
      <c r="F47" t="s">
        <v>2318</v>
      </c>
      <c r="G47" t="s">
        <v>1853</v>
      </c>
      <c r="H47">
        <v>5</v>
      </c>
      <c r="I47">
        <v>10</v>
      </c>
      <c r="J47">
        <v>8</v>
      </c>
      <c r="K47">
        <v>0</v>
      </c>
      <c r="L47">
        <v>0</v>
      </c>
      <c r="M47">
        <v>8</v>
      </c>
      <c r="N47">
        <v>13.37</v>
      </c>
      <c r="O47" t="s">
        <v>121</v>
      </c>
      <c r="P47">
        <v>106.99</v>
      </c>
    </row>
    <row r="48" spans="1:16">
      <c r="A48" s="42" t="str">
        <f>VLOOKUP(E48,'Soort voorraad'!A:B,2,FALSE)</f>
        <v>Projectvoorraad</v>
      </c>
      <c r="B48" t="s">
        <v>321</v>
      </c>
      <c r="C48" t="s">
        <v>322</v>
      </c>
      <c r="D48" t="s">
        <v>323</v>
      </c>
      <c r="E48" t="s">
        <v>1854</v>
      </c>
      <c r="F48" t="s">
        <v>1855</v>
      </c>
      <c r="G48" t="s">
        <v>1856</v>
      </c>
      <c r="H48">
        <v>15</v>
      </c>
      <c r="I48">
        <v>10</v>
      </c>
      <c r="J48">
        <v>24</v>
      </c>
      <c r="K48">
        <v>0</v>
      </c>
      <c r="L48">
        <v>0</v>
      </c>
      <c r="M48">
        <v>24</v>
      </c>
      <c r="N48">
        <v>7.49</v>
      </c>
      <c r="O48" t="s">
        <v>121</v>
      </c>
      <c r="P48">
        <v>179.76</v>
      </c>
    </row>
    <row r="49" spans="1:16">
      <c r="A49" s="42" t="str">
        <f>VLOOKUP(E49,'Soort voorraad'!A:B,2,FALSE)</f>
        <v>Projectvoorraad</v>
      </c>
      <c r="B49" t="s">
        <v>321</v>
      </c>
      <c r="C49" t="s">
        <v>322</v>
      </c>
      <c r="D49" t="s">
        <v>323</v>
      </c>
      <c r="E49" t="s">
        <v>1857</v>
      </c>
      <c r="F49" t="s">
        <v>1858</v>
      </c>
      <c r="G49" t="s">
        <v>1859</v>
      </c>
      <c r="H49">
        <v>15</v>
      </c>
      <c r="I49">
        <v>10</v>
      </c>
      <c r="J49">
        <v>17</v>
      </c>
      <c r="K49">
        <v>0</v>
      </c>
      <c r="L49">
        <v>0</v>
      </c>
      <c r="M49">
        <v>17</v>
      </c>
      <c r="N49">
        <v>7.16</v>
      </c>
      <c r="O49" t="s">
        <v>121</v>
      </c>
      <c r="P49">
        <v>121.72</v>
      </c>
    </row>
    <row r="50" spans="1:16">
      <c r="A50" s="42" t="str">
        <f>VLOOKUP(E50,'Soort voorraad'!A:B,2,FALSE)</f>
        <v>Projectvoorraad</v>
      </c>
      <c r="B50" t="s">
        <v>321</v>
      </c>
      <c r="C50" t="s">
        <v>322</v>
      </c>
      <c r="D50" t="s">
        <v>323</v>
      </c>
      <c r="E50" t="s">
        <v>1860</v>
      </c>
      <c r="F50" t="s">
        <v>1861</v>
      </c>
      <c r="G50" t="s">
        <v>1862</v>
      </c>
      <c r="H50">
        <v>15</v>
      </c>
      <c r="I50">
        <v>10</v>
      </c>
      <c r="J50">
        <v>22</v>
      </c>
      <c r="K50">
        <v>0</v>
      </c>
      <c r="L50">
        <v>0</v>
      </c>
      <c r="M50">
        <v>22</v>
      </c>
      <c r="N50">
        <v>6.68</v>
      </c>
      <c r="O50" t="s">
        <v>121</v>
      </c>
      <c r="P50">
        <v>146.96</v>
      </c>
    </row>
    <row r="51" spans="1:16">
      <c r="A51" s="42" t="str">
        <f>VLOOKUP(E51,'Soort voorraad'!A:B,2,FALSE)</f>
        <v>Projectvoorraad</v>
      </c>
      <c r="B51" t="s">
        <v>321</v>
      </c>
      <c r="C51" t="s">
        <v>322</v>
      </c>
      <c r="D51" t="s">
        <v>323</v>
      </c>
      <c r="E51" t="s">
        <v>1863</v>
      </c>
      <c r="F51" t="s">
        <v>1864</v>
      </c>
      <c r="G51" t="s">
        <v>1865</v>
      </c>
      <c r="H51">
        <v>15</v>
      </c>
      <c r="I51">
        <v>10</v>
      </c>
      <c r="J51">
        <v>15</v>
      </c>
      <c r="K51">
        <v>0</v>
      </c>
      <c r="L51">
        <v>0</v>
      </c>
      <c r="M51">
        <v>15</v>
      </c>
      <c r="N51">
        <v>5.08</v>
      </c>
      <c r="O51" t="s">
        <v>121</v>
      </c>
      <c r="P51">
        <v>76.2</v>
      </c>
    </row>
    <row r="52" spans="1:16">
      <c r="A52" s="42" t="str">
        <f>VLOOKUP(E52,'Soort voorraad'!A:B,2,FALSE)</f>
        <v>Projectvoorraad</v>
      </c>
      <c r="B52" t="s">
        <v>321</v>
      </c>
      <c r="C52" t="s">
        <v>322</v>
      </c>
      <c r="D52" t="s">
        <v>323</v>
      </c>
      <c r="E52" t="s">
        <v>218</v>
      </c>
      <c r="F52" t="s">
        <v>1004</v>
      </c>
      <c r="G52" t="s">
        <v>1866</v>
      </c>
      <c r="H52">
        <v>15</v>
      </c>
      <c r="I52">
        <v>5</v>
      </c>
      <c r="J52">
        <v>22</v>
      </c>
      <c r="K52">
        <v>0</v>
      </c>
      <c r="L52">
        <v>0</v>
      </c>
      <c r="M52">
        <v>22</v>
      </c>
      <c r="N52">
        <v>6.86</v>
      </c>
      <c r="O52" t="s">
        <v>121</v>
      </c>
      <c r="P52">
        <v>150.91999999999999</v>
      </c>
    </row>
    <row r="53" spans="1:16">
      <c r="A53" s="42" t="str">
        <f>VLOOKUP(E53,'Soort voorraad'!A:B,2,FALSE)</f>
        <v>Projectvoorraad</v>
      </c>
      <c r="B53" t="s">
        <v>321</v>
      </c>
      <c r="C53" t="s">
        <v>322</v>
      </c>
      <c r="D53" t="s">
        <v>323</v>
      </c>
      <c r="E53" t="s">
        <v>197</v>
      </c>
      <c r="F53" t="s">
        <v>1005</v>
      </c>
      <c r="G53" t="s">
        <v>1867</v>
      </c>
      <c r="H53">
        <v>15</v>
      </c>
      <c r="I53">
        <v>5</v>
      </c>
      <c r="J53">
        <v>49</v>
      </c>
      <c r="K53">
        <v>0</v>
      </c>
      <c r="L53">
        <v>0</v>
      </c>
      <c r="M53">
        <v>49</v>
      </c>
      <c r="N53">
        <v>4.6500000000000004</v>
      </c>
      <c r="O53" t="s">
        <v>121</v>
      </c>
      <c r="P53">
        <v>227.85</v>
      </c>
    </row>
    <row r="54" spans="1:16">
      <c r="A54" s="42" t="str">
        <f>VLOOKUP(E54,'Soort voorraad'!A:B,2,FALSE)</f>
        <v>Projectvoorraad</v>
      </c>
      <c r="B54" t="s">
        <v>321</v>
      </c>
      <c r="C54" t="s">
        <v>322</v>
      </c>
      <c r="D54" t="s">
        <v>323</v>
      </c>
      <c r="E54" t="s">
        <v>261</v>
      </c>
      <c r="F54" t="s">
        <v>1696</v>
      </c>
      <c r="G54" t="s">
        <v>1868</v>
      </c>
      <c r="H54">
        <v>15</v>
      </c>
      <c r="I54">
        <v>5</v>
      </c>
      <c r="J54">
        <v>34</v>
      </c>
      <c r="K54">
        <v>0</v>
      </c>
      <c r="L54">
        <v>0</v>
      </c>
      <c r="M54">
        <v>34</v>
      </c>
      <c r="N54">
        <v>6.86</v>
      </c>
      <c r="O54" t="s">
        <v>121</v>
      </c>
      <c r="P54">
        <v>233.24</v>
      </c>
    </row>
    <row r="55" spans="1:16">
      <c r="A55" s="42" t="str">
        <f>VLOOKUP(E55,'Soort voorraad'!A:B,2,FALSE)</f>
        <v>Projectvoorraad</v>
      </c>
      <c r="B55" t="s">
        <v>321</v>
      </c>
      <c r="C55" t="s">
        <v>322</v>
      </c>
      <c r="D55" t="s">
        <v>323</v>
      </c>
      <c r="E55" t="s">
        <v>264</v>
      </c>
      <c r="F55" t="s">
        <v>1694</v>
      </c>
      <c r="G55" t="s">
        <v>1869</v>
      </c>
      <c r="H55">
        <v>15</v>
      </c>
      <c r="I55">
        <v>10</v>
      </c>
      <c r="J55">
        <v>18</v>
      </c>
      <c r="K55">
        <v>0</v>
      </c>
      <c r="L55">
        <v>0</v>
      </c>
      <c r="M55">
        <v>18</v>
      </c>
      <c r="N55">
        <v>7.43</v>
      </c>
      <c r="O55" t="s">
        <v>121</v>
      </c>
      <c r="P55">
        <v>133.71</v>
      </c>
    </row>
    <row r="56" spans="1:16">
      <c r="A56" s="42" t="str">
        <f>VLOOKUP(E56,'Soort voorraad'!A:B,2,FALSE)</f>
        <v>Projectvoorraad</v>
      </c>
      <c r="B56" t="s">
        <v>321</v>
      </c>
      <c r="C56" t="s">
        <v>322</v>
      </c>
      <c r="D56" t="s">
        <v>323</v>
      </c>
      <c r="E56" t="s">
        <v>214</v>
      </c>
      <c r="F56" t="s">
        <v>1006</v>
      </c>
      <c r="G56" t="s">
        <v>1870</v>
      </c>
      <c r="H56">
        <v>25</v>
      </c>
      <c r="I56">
        <v>10</v>
      </c>
      <c r="J56">
        <v>16</v>
      </c>
      <c r="K56">
        <v>0</v>
      </c>
      <c r="L56">
        <v>0</v>
      </c>
      <c r="M56">
        <v>16</v>
      </c>
      <c r="N56">
        <v>2.97</v>
      </c>
      <c r="O56" t="s">
        <v>121</v>
      </c>
      <c r="P56">
        <v>47.52</v>
      </c>
    </row>
    <row r="57" spans="1:16">
      <c r="A57" s="42" t="str">
        <f>VLOOKUP(E57,'Soort voorraad'!A:B,2,FALSE)</f>
        <v>Projectvoorraad</v>
      </c>
      <c r="B57" t="s">
        <v>321</v>
      </c>
      <c r="C57" t="s">
        <v>322</v>
      </c>
      <c r="D57" t="s">
        <v>323</v>
      </c>
      <c r="E57" t="s">
        <v>202</v>
      </c>
      <c r="F57" t="s">
        <v>1007</v>
      </c>
      <c r="G57" t="s">
        <v>1871</v>
      </c>
      <c r="H57">
        <v>15</v>
      </c>
      <c r="I57">
        <v>5</v>
      </c>
      <c r="J57">
        <v>34</v>
      </c>
      <c r="K57">
        <v>0</v>
      </c>
      <c r="L57">
        <v>0</v>
      </c>
      <c r="M57">
        <v>34</v>
      </c>
      <c r="N57">
        <v>3.55</v>
      </c>
      <c r="O57" t="s">
        <v>121</v>
      </c>
      <c r="P57">
        <v>120.7</v>
      </c>
    </row>
    <row r="58" spans="1:16">
      <c r="A58" s="42" t="str">
        <f>VLOOKUP(E58,'Soort voorraad'!A:B,2,FALSE)</f>
        <v>Projectvoorraad</v>
      </c>
      <c r="B58" t="s">
        <v>321</v>
      </c>
      <c r="C58" t="s">
        <v>322</v>
      </c>
      <c r="D58" t="s">
        <v>323</v>
      </c>
      <c r="E58" t="s">
        <v>208</v>
      </c>
      <c r="F58" t="s">
        <v>1008</v>
      </c>
      <c r="G58" t="s">
        <v>1872</v>
      </c>
      <c r="H58">
        <v>15</v>
      </c>
      <c r="I58">
        <v>5</v>
      </c>
      <c r="J58">
        <v>18</v>
      </c>
      <c r="K58">
        <v>0</v>
      </c>
      <c r="L58">
        <v>0</v>
      </c>
      <c r="M58">
        <v>18</v>
      </c>
      <c r="N58">
        <v>4.6100000000000003</v>
      </c>
      <c r="O58" t="s">
        <v>121</v>
      </c>
      <c r="P58">
        <v>82.98</v>
      </c>
    </row>
    <row r="59" spans="1:16">
      <c r="A59" s="42" t="str">
        <f>VLOOKUP(E59,'Soort voorraad'!A:B,2,FALSE)</f>
        <v>Projectvoorraad</v>
      </c>
      <c r="B59" t="s">
        <v>321</v>
      </c>
      <c r="C59" t="s">
        <v>322</v>
      </c>
      <c r="D59" t="s">
        <v>323</v>
      </c>
      <c r="E59" t="s">
        <v>204</v>
      </c>
      <c r="F59" t="s">
        <v>1009</v>
      </c>
      <c r="G59" t="s">
        <v>1873</v>
      </c>
      <c r="H59">
        <v>15</v>
      </c>
      <c r="I59">
        <v>5</v>
      </c>
      <c r="J59">
        <v>47</v>
      </c>
      <c r="K59">
        <v>0</v>
      </c>
      <c r="L59">
        <v>0</v>
      </c>
      <c r="M59">
        <v>47</v>
      </c>
      <c r="N59">
        <v>6.43</v>
      </c>
      <c r="O59" t="s">
        <v>121</v>
      </c>
      <c r="P59">
        <v>302.20999999999998</v>
      </c>
    </row>
    <row r="60" spans="1:16">
      <c r="A60" s="42" t="str">
        <f>VLOOKUP(E60,'Soort voorraad'!A:B,2,FALSE)</f>
        <v>Projectvoorraad</v>
      </c>
      <c r="B60" t="s">
        <v>321</v>
      </c>
      <c r="C60" t="s">
        <v>322</v>
      </c>
      <c r="D60" t="s">
        <v>323</v>
      </c>
      <c r="E60" t="s">
        <v>194</v>
      </c>
      <c r="F60" t="s">
        <v>1011</v>
      </c>
      <c r="G60" t="s">
        <v>1874</v>
      </c>
      <c r="H60">
        <v>15</v>
      </c>
      <c r="I60">
        <v>5</v>
      </c>
      <c r="J60">
        <v>43</v>
      </c>
      <c r="K60">
        <v>0</v>
      </c>
      <c r="L60">
        <v>0</v>
      </c>
      <c r="M60">
        <v>43</v>
      </c>
      <c r="N60">
        <v>2.77</v>
      </c>
      <c r="O60" t="s">
        <v>121</v>
      </c>
      <c r="P60">
        <v>119.11</v>
      </c>
    </row>
    <row r="61" spans="1:16">
      <c r="A61" s="42" t="str">
        <f>VLOOKUP(E61,'Soort voorraad'!A:B,2,FALSE)</f>
        <v>Projectvoorraad</v>
      </c>
      <c r="B61" t="s">
        <v>321</v>
      </c>
      <c r="C61" t="s">
        <v>322</v>
      </c>
      <c r="D61" t="s">
        <v>323</v>
      </c>
      <c r="E61" t="s">
        <v>223</v>
      </c>
      <c r="F61" t="s">
        <v>1017</v>
      </c>
      <c r="G61" t="s">
        <v>1875</v>
      </c>
      <c r="H61">
        <v>20</v>
      </c>
      <c r="I61">
        <v>10</v>
      </c>
      <c r="J61">
        <v>164</v>
      </c>
      <c r="K61">
        <v>0</v>
      </c>
      <c r="L61">
        <v>0</v>
      </c>
      <c r="M61">
        <v>164</v>
      </c>
      <c r="N61">
        <v>3.77</v>
      </c>
      <c r="O61" t="s">
        <v>121</v>
      </c>
      <c r="P61">
        <v>618.28</v>
      </c>
    </row>
    <row r="62" spans="1:16">
      <c r="A62" s="42" t="str">
        <f>VLOOKUP(E62,'Soort voorraad'!A:B,2,FALSE)</f>
        <v>Projectvoorraad</v>
      </c>
      <c r="B62" t="s">
        <v>321</v>
      </c>
      <c r="C62" t="s">
        <v>322</v>
      </c>
      <c r="D62" t="s">
        <v>323</v>
      </c>
      <c r="E62" t="s">
        <v>188</v>
      </c>
      <c r="F62" t="s">
        <v>1018</v>
      </c>
      <c r="G62" t="s">
        <v>1876</v>
      </c>
      <c r="H62">
        <v>15</v>
      </c>
      <c r="I62">
        <v>5</v>
      </c>
      <c r="J62">
        <v>22</v>
      </c>
      <c r="K62">
        <v>0</v>
      </c>
      <c r="L62">
        <v>0</v>
      </c>
      <c r="M62">
        <v>22</v>
      </c>
      <c r="N62">
        <v>4.87</v>
      </c>
      <c r="O62" t="s">
        <v>121</v>
      </c>
      <c r="P62">
        <v>107.14</v>
      </c>
    </row>
    <row r="63" spans="1:16">
      <c r="A63" s="42" t="str">
        <f>VLOOKUP(E63,'Soort voorraad'!A:B,2,FALSE)</f>
        <v>Projectvoorraad</v>
      </c>
      <c r="B63" t="s">
        <v>321</v>
      </c>
      <c r="C63" t="s">
        <v>322</v>
      </c>
      <c r="D63" t="s">
        <v>323</v>
      </c>
      <c r="E63" t="s">
        <v>198</v>
      </c>
      <c r="F63" t="s">
        <v>1019</v>
      </c>
      <c r="G63" t="s">
        <v>1877</v>
      </c>
      <c r="H63">
        <v>15</v>
      </c>
      <c r="I63">
        <v>5</v>
      </c>
      <c r="J63">
        <v>43</v>
      </c>
      <c r="K63">
        <v>0</v>
      </c>
      <c r="L63">
        <v>0</v>
      </c>
      <c r="M63">
        <v>43</v>
      </c>
      <c r="N63">
        <v>2.88</v>
      </c>
      <c r="O63" t="s">
        <v>121</v>
      </c>
      <c r="P63">
        <v>123.84</v>
      </c>
    </row>
    <row r="64" spans="1:16">
      <c r="A64" s="42" t="str">
        <f>VLOOKUP(E64,'Soort voorraad'!A:B,2,FALSE)</f>
        <v>Projectvoorraad</v>
      </c>
      <c r="B64" t="s">
        <v>321</v>
      </c>
      <c r="C64" t="s">
        <v>322</v>
      </c>
      <c r="D64" t="s">
        <v>323</v>
      </c>
      <c r="E64" t="s">
        <v>192</v>
      </c>
      <c r="F64" t="s">
        <v>1020</v>
      </c>
      <c r="G64" t="s">
        <v>1877</v>
      </c>
      <c r="H64">
        <v>15</v>
      </c>
      <c r="I64">
        <v>5</v>
      </c>
      <c r="J64">
        <v>19</v>
      </c>
      <c r="K64">
        <v>0</v>
      </c>
      <c r="L64">
        <v>0</v>
      </c>
      <c r="M64">
        <v>19</v>
      </c>
      <c r="N64">
        <v>1.66</v>
      </c>
      <c r="O64" t="s">
        <v>121</v>
      </c>
      <c r="P64">
        <v>31.54</v>
      </c>
    </row>
    <row r="65" spans="1:16">
      <c r="A65" s="42" t="str">
        <f>VLOOKUP(E65,'Soort voorraad'!A:B,2,FALSE)</f>
        <v>Projectvoorraad</v>
      </c>
      <c r="B65" t="s">
        <v>321</v>
      </c>
      <c r="C65" t="s">
        <v>322</v>
      </c>
      <c r="D65" t="s">
        <v>323</v>
      </c>
      <c r="E65" t="s">
        <v>209</v>
      </c>
      <c r="F65" t="s">
        <v>1021</v>
      </c>
      <c r="G65" t="s">
        <v>1878</v>
      </c>
      <c r="H65">
        <v>15</v>
      </c>
      <c r="I65">
        <v>5</v>
      </c>
      <c r="J65">
        <v>40</v>
      </c>
      <c r="K65">
        <v>0</v>
      </c>
      <c r="L65">
        <v>0</v>
      </c>
      <c r="M65">
        <v>40</v>
      </c>
      <c r="N65">
        <v>6.86</v>
      </c>
      <c r="O65" t="s">
        <v>121</v>
      </c>
      <c r="P65">
        <v>274.39999999999998</v>
      </c>
    </row>
    <row r="66" spans="1:16">
      <c r="A66" s="42" t="str">
        <f>VLOOKUP(E66,'Soort voorraad'!A:B,2,FALSE)</f>
        <v>Projectvoorraad</v>
      </c>
      <c r="B66" t="s">
        <v>321</v>
      </c>
      <c r="C66" t="s">
        <v>322</v>
      </c>
      <c r="D66" t="s">
        <v>323</v>
      </c>
      <c r="E66" t="s">
        <v>216</v>
      </c>
      <c r="F66" t="s">
        <v>1022</v>
      </c>
      <c r="G66" t="s">
        <v>1879</v>
      </c>
      <c r="H66">
        <v>25</v>
      </c>
      <c r="I66">
        <v>20</v>
      </c>
      <c r="J66">
        <v>27</v>
      </c>
      <c r="K66">
        <v>0</v>
      </c>
      <c r="L66">
        <v>0</v>
      </c>
      <c r="M66">
        <v>27</v>
      </c>
      <c r="N66">
        <v>1.43</v>
      </c>
      <c r="O66" t="s">
        <v>121</v>
      </c>
      <c r="P66">
        <v>38.659999999999997</v>
      </c>
    </row>
    <row r="67" spans="1:16">
      <c r="A67" s="42" t="str">
        <f>VLOOKUP(E67,'Soort voorraad'!A:B,2,FALSE)</f>
        <v>Projectvoorraad</v>
      </c>
      <c r="B67" t="s">
        <v>321</v>
      </c>
      <c r="C67" t="s">
        <v>322</v>
      </c>
      <c r="D67" t="s">
        <v>323</v>
      </c>
      <c r="E67" t="s">
        <v>213</v>
      </c>
      <c r="F67" t="s">
        <v>1023</v>
      </c>
      <c r="G67" t="s">
        <v>1880</v>
      </c>
      <c r="H67">
        <v>10</v>
      </c>
      <c r="I67">
        <v>2</v>
      </c>
      <c r="J67">
        <v>4</v>
      </c>
      <c r="K67">
        <v>0</v>
      </c>
      <c r="L67">
        <v>0</v>
      </c>
      <c r="M67">
        <v>4</v>
      </c>
      <c r="N67">
        <v>10.63</v>
      </c>
      <c r="O67" t="s">
        <v>121</v>
      </c>
      <c r="P67">
        <v>42.52</v>
      </c>
    </row>
    <row r="68" spans="1:16">
      <c r="A68" s="42" t="str">
        <f>VLOOKUP(E68,'Soort voorraad'!A:B,2,FALSE)</f>
        <v>Projectvoorraad</v>
      </c>
      <c r="B68" t="s">
        <v>321</v>
      </c>
      <c r="C68" t="s">
        <v>322</v>
      </c>
      <c r="D68" t="s">
        <v>323</v>
      </c>
      <c r="E68" t="s">
        <v>190</v>
      </c>
      <c r="F68" t="s">
        <v>1012</v>
      </c>
      <c r="G68" t="s">
        <v>1881</v>
      </c>
      <c r="H68">
        <v>50</v>
      </c>
      <c r="I68">
        <v>10</v>
      </c>
      <c r="J68">
        <v>167</v>
      </c>
      <c r="K68">
        <v>0</v>
      </c>
      <c r="L68">
        <v>0</v>
      </c>
      <c r="M68">
        <v>167</v>
      </c>
      <c r="N68">
        <v>3.77</v>
      </c>
      <c r="O68" t="s">
        <v>121</v>
      </c>
      <c r="P68">
        <v>629.59</v>
      </c>
    </row>
    <row r="69" spans="1:16">
      <c r="A69" s="42" t="str">
        <f>VLOOKUP(E69,'Soort voorraad'!A:B,2,FALSE)</f>
        <v>Projectvoorraad</v>
      </c>
      <c r="B69" t="s">
        <v>321</v>
      </c>
      <c r="C69" t="s">
        <v>322</v>
      </c>
      <c r="D69" t="s">
        <v>323</v>
      </c>
      <c r="E69" t="s">
        <v>206</v>
      </c>
      <c r="F69" t="s">
        <v>1013</v>
      </c>
      <c r="G69" t="s">
        <v>1882</v>
      </c>
      <c r="H69">
        <v>15</v>
      </c>
      <c r="I69">
        <v>10</v>
      </c>
      <c r="J69">
        <v>23</v>
      </c>
      <c r="K69">
        <v>0</v>
      </c>
      <c r="L69">
        <v>0</v>
      </c>
      <c r="M69">
        <v>23</v>
      </c>
      <c r="N69">
        <v>3.77</v>
      </c>
      <c r="O69" t="s">
        <v>121</v>
      </c>
      <c r="P69">
        <v>86.71</v>
      </c>
    </row>
    <row r="70" spans="1:16">
      <c r="A70" s="42" t="str">
        <f>VLOOKUP(E70,'Soort voorraad'!A:B,2,FALSE)</f>
        <v>Projectvoorraad</v>
      </c>
      <c r="B70" t="s">
        <v>321</v>
      </c>
      <c r="C70" t="s">
        <v>322</v>
      </c>
      <c r="D70" t="s">
        <v>323</v>
      </c>
      <c r="E70" t="s">
        <v>262</v>
      </c>
      <c r="F70" t="s">
        <v>1695</v>
      </c>
      <c r="G70" t="s">
        <v>1883</v>
      </c>
      <c r="H70">
        <v>50</v>
      </c>
      <c r="I70">
        <v>25</v>
      </c>
      <c r="J70">
        <v>43</v>
      </c>
      <c r="K70">
        <v>0</v>
      </c>
      <c r="L70">
        <v>0</v>
      </c>
      <c r="M70">
        <v>43</v>
      </c>
      <c r="N70">
        <v>4.04</v>
      </c>
      <c r="O70" t="s">
        <v>121</v>
      </c>
      <c r="P70">
        <v>173.88</v>
      </c>
    </row>
    <row r="71" spans="1:16">
      <c r="A71" s="42" t="str">
        <f>VLOOKUP(E71,'Soort voorraad'!A:B,2,FALSE)</f>
        <v>Projectvoorraad</v>
      </c>
      <c r="B71" t="s">
        <v>321</v>
      </c>
      <c r="C71" t="s">
        <v>322</v>
      </c>
      <c r="D71" t="s">
        <v>323</v>
      </c>
      <c r="E71" t="s">
        <v>265</v>
      </c>
      <c r="F71" t="s">
        <v>1693</v>
      </c>
      <c r="G71" t="s">
        <v>1884</v>
      </c>
      <c r="H71">
        <v>50</v>
      </c>
      <c r="I71">
        <v>25</v>
      </c>
      <c r="J71">
        <v>35</v>
      </c>
      <c r="K71">
        <v>0</v>
      </c>
      <c r="L71">
        <v>0</v>
      </c>
      <c r="M71">
        <v>35</v>
      </c>
      <c r="N71">
        <v>4.3499999999999996</v>
      </c>
      <c r="O71" t="s">
        <v>121</v>
      </c>
      <c r="P71">
        <v>152.25</v>
      </c>
    </row>
    <row r="72" spans="1:16">
      <c r="A72" s="42" t="str">
        <f>VLOOKUP(E72,'Soort voorraad'!A:B,2,FALSE)</f>
        <v>Projectvoorraad</v>
      </c>
      <c r="B72" t="s">
        <v>321</v>
      </c>
      <c r="C72" t="s">
        <v>322</v>
      </c>
      <c r="D72" t="s">
        <v>323</v>
      </c>
      <c r="E72" t="s">
        <v>224</v>
      </c>
      <c r="F72" t="s">
        <v>1024</v>
      </c>
      <c r="G72" t="s">
        <v>1885</v>
      </c>
      <c r="H72">
        <v>20</v>
      </c>
      <c r="I72">
        <v>10</v>
      </c>
      <c r="J72">
        <v>175</v>
      </c>
      <c r="K72">
        <v>0</v>
      </c>
      <c r="L72">
        <v>0</v>
      </c>
      <c r="M72">
        <v>175</v>
      </c>
      <c r="N72">
        <v>4.2</v>
      </c>
      <c r="O72" t="s">
        <v>121</v>
      </c>
      <c r="P72">
        <v>735</v>
      </c>
    </row>
    <row r="73" spans="1:16">
      <c r="A73" s="42" t="str">
        <f>VLOOKUP(E73,'Soort voorraad'!A:B,2,FALSE)</f>
        <v>Projectvoorraad</v>
      </c>
      <c r="B73" t="s">
        <v>321</v>
      </c>
      <c r="C73" t="s">
        <v>322</v>
      </c>
      <c r="D73" t="s">
        <v>323</v>
      </c>
      <c r="E73" t="s">
        <v>200</v>
      </c>
      <c r="F73" t="s">
        <v>1014</v>
      </c>
      <c r="G73" t="s">
        <v>1886</v>
      </c>
      <c r="H73">
        <v>20</v>
      </c>
      <c r="I73">
        <v>10</v>
      </c>
      <c r="J73">
        <v>112</v>
      </c>
      <c r="K73">
        <v>0</v>
      </c>
      <c r="L73">
        <v>0</v>
      </c>
      <c r="M73">
        <v>112</v>
      </c>
      <c r="N73">
        <v>3.33</v>
      </c>
      <c r="O73" t="s">
        <v>121</v>
      </c>
      <c r="P73">
        <v>372.96</v>
      </c>
    </row>
    <row r="74" spans="1:16">
      <c r="A74" s="42" t="str">
        <f>VLOOKUP(E74,'Soort voorraad'!A:B,2,FALSE)</f>
        <v>Projectvoorraad</v>
      </c>
      <c r="B74" t="s">
        <v>321</v>
      </c>
      <c r="C74" t="s">
        <v>322</v>
      </c>
      <c r="D74" t="s">
        <v>323</v>
      </c>
      <c r="E74" t="s">
        <v>203</v>
      </c>
      <c r="F74" t="s">
        <v>1015</v>
      </c>
      <c r="G74" t="s">
        <v>1887</v>
      </c>
      <c r="H74">
        <v>15</v>
      </c>
      <c r="I74">
        <v>5</v>
      </c>
      <c r="J74">
        <v>25</v>
      </c>
      <c r="K74">
        <v>0</v>
      </c>
      <c r="L74">
        <v>0</v>
      </c>
      <c r="M74">
        <v>25</v>
      </c>
      <c r="N74">
        <v>2.5299999999999998</v>
      </c>
      <c r="O74" t="s">
        <v>121</v>
      </c>
      <c r="P74">
        <v>63.25</v>
      </c>
    </row>
    <row r="75" spans="1:16">
      <c r="A75" s="42" t="str">
        <f>VLOOKUP(E75,'Soort voorraad'!A:B,2,FALSE)</f>
        <v>Projectvoorraad</v>
      </c>
      <c r="B75" t="s">
        <v>321</v>
      </c>
      <c r="C75" t="s">
        <v>322</v>
      </c>
      <c r="D75" t="s">
        <v>323</v>
      </c>
      <c r="E75" t="s">
        <v>219</v>
      </c>
      <c r="F75" t="s">
        <v>1016</v>
      </c>
      <c r="G75" t="s">
        <v>1888</v>
      </c>
      <c r="H75">
        <v>15</v>
      </c>
      <c r="I75">
        <v>5</v>
      </c>
      <c r="J75">
        <v>25</v>
      </c>
      <c r="K75">
        <v>0</v>
      </c>
      <c r="L75">
        <v>0</v>
      </c>
      <c r="M75">
        <v>25</v>
      </c>
      <c r="N75">
        <v>5.32</v>
      </c>
      <c r="O75" t="s">
        <v>121</v>
      </c>
      <c r="P75">
        <v>133</v>
      </c>
    </row>
    <row r="76" spans="1:16">
      <c r="A76" s="42" t="str">
        <f>VLOOKUP(E76,'Soort voorraad'!A:B,2,FALSE)</f>
        <v>Grijpvoorraad</v>
      </c>
      <c r="B76" t="s">
        <v>321</v>
      </c>
      <c r="C76" t="s">
        <v>322</v>
      </c>
      <c r="D76" t="s">
        <v>323</v>
      </c>
      <c r="E76" t="s">
        <v>944</v>
      </c>
      <c r="F76" t="s">
        <v>945</v>
      </c>
      <c r="G76" t="s">
        <v>1889</v>
      </c>
      <c r="H76">
        <v>150</v>
      </c>
      <c r="I76">
        <v>60</v>
      </c>
      <c r="J76">
        <v>132</v>
      </c>
      <c r="K76">
        <v>0</v>
      </c>
      <c r="L76">
        <v>0</v>
      </c>
      <c r="M76">
        <v>132</v>
      </c>
      <c r="N76">
        <v>11.68</v>
      </c>
      <c r="O76" t="s">
        <v>121</v>
      </c>
      <c r="P76">
        <v>1542.26</v>
      </c>
    </row>
    <row r="77" spans="1:16">
      <c r="A77" s="42" t="str">
        <f>VLOOKUP(E77,'Soort voorraad'!A:B,2,FALSE)</f>
        <v>Grijpvoorraad</v>
      </c>
      <c r="B77" t="s">
        <v>321</v>
      </c>
      <c r="C77" t="s">
        <v>322</v>
      </c>
      <c r="D77" t="s">
        <v>323</v>
      </c>
      <c r="E77" t="s">
        <v>946</v>
      </c>
      <c r="F77" t="s">
        <v>947</v>
      </c>
      <c r="G77" t="s">
        <v>1890</v>
      </c>
      <c r="H77">
        <v>12</v>
      </c>
      <c r="I77">
        <v>1</v>
      </c>
      <c r="J77">
        <v>6</v>
      </c>
      <c r="K77">
        <v>0</v>
      </c>
      <c r="L77">
        <v>0</v>
      </c>
      <c r="M77">
        <v>6</v>
      </c>
      <c r="N77">
        <v>10.45</v>
      </c>
      <c r="O77" t="s">
        <v>121</v>
      </c>
      <c r="P77">
        <v>62.7</v>
      </c>
    </row>
    <row r="78" spans="1:16">
      <c r="A78" s="42" t="str">
        <f>VLOOKUP(E78,'Soort voorraad'!A:B,2,FALSE)</f>
        <v>Grijpvoorraad</v>
      </c>
      <c r="B78" t="s">
        <v>321</v>
      </c>
      <c r="C78" t="s">
        <v>322</v>
      </c>
      <c r="D78" t="s">
        <v>323</v>
      </c>
      <c r="E78" t="s">
        <v>948</v>
      </c>
      <c r="F78" t="s">
        <v>949</v>
      </c>
      <c r="G78" t="s">
        <v>1891</v>
      </c>
      <c r="H78">
        <v>12</v>
      </c>
      <c r="I78">
        <v>1</v>
      </c>
      <c r="J78">
        <v>6</v>
      </c>
      <c r="K78">
        <v>0</v>
      </c>
      <c r="L78">
        <v>0</v>
      </c>
      <c r="M78">
        <v>6</v>
      </c>
      <c r="N78">
        <v>10.67</v>
      </c>
      <c r="O78" t="s">
        <v>121</v>
      </c>
      <c r="P78">
        <v>64.02</v>
      </c>
    </row>
    <row r="79" spans="1:16">
      <c r="A79" s="42" t="str">
        <f>VLOOKUP(E79,'Soort voorraad'!A:B,2,FALSE)</f>
        <v>Grijpvoorraad</v>
      </c>
      <c r="B79" t="s">
        <v>321</v>
      </c>
      <c r="C79" t="s">
        <v>322</v>
      </c>
      <c r="D79" t="s">
        <v>323</v>
      </c>
      <c r="E79" t="s">
        <v>950</v>
      </c>
      <c r="F79" t="s">
        <v>2319</v>
      </c>
      <c r="G79" t="s">
        <v>1892</v>
      </c>
      <c r="H79">
        <v>12</v>
      </c>
      <c r="I79">
        <v>1</v>
      </c>
      <c r="J79">
        <v>12</v>
      </c>
      <c r="K79">
        <v>0</v>
      </c>
      <c r="L79">
        <v>0</v>
      </c>
      <c r="M79">
        <v>12</v>
      </c>
      <c r="N79">
        <v>6.46</v>
      </c>
      <c r="O79" t="s">
        <v>121</v>
      </c>
      <c r="P79">
        <v>77.5</v>
      </c>
    </row>
    <row r="80" spans="1:16">
      <c r="A80" s="42" t="str">
        <f>VLOOKUP(E80,'Soort voorraad'!A:B,2,FALSE)</f>
        <v>Grijpvoorraad</v>
      </c>
      <c r="B80" t="s">
        <v>321</v>
      </c>
      <c r="C80" t="s">
        <v>322</v>
      </c>
      <c r="D80" t="s">
        <v>323</v>
      </c>
      <c r="E80" t="s">
        <v>951</v>
      </c>
      <c r="F80" t="s">
        <v>952</v>
      </c>
      <c r="G80" t="s">
        <v>1893</v>
      </c>
      <c r="H80">
        <v>6</v>
      </c>
      <c r="I80">
        <v>1</v>
      </c>
      <c r="J80">
        <v>6</v>
      </c>
      <c r="K80">
        <v>0</v>
      </c>
      <c r="L80">
        <v>0</v>
      </c>
      <c r="M80">
        <v>6</v>
      </c>
      <c r="N80">
        <v>8.8800000000000008</v>
      </c>
      <c r="O80" t="s">
        <v>121</v>
      </c>
      <c r="P80">
        <v>53.28</v>
      </c>
    </row>
    <row r="81" spans="1:16">
      <c r="A81" s="42" t="str">
        <f>VLOOKUP(E81,'Soort voorraad'!A:B,2,FALSE)</f>
        <v>Grijpvoorraad</v>
      </c>
      <c r="B81" t="s">
        <v>321</v>
      </c>
      <c r="C81" t="s">
        <v>322</v>
      </c>
      <c r="D81" t="s">
        <v>323</v>
      </c>
      <c r="E81" t="s">
        <v>994</v>
      </c>
      <c r="F81" t="s">
        <v>995</v>
      </c>
      <c r="G81" t="s">
        <v>1894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3.3</v>
      </c>
      <c r="O81" t="s">
        <v>121</v>
      </c>
      <c r="P81">
        <v>0</v>
      </c>
    </row>
    <row r="82" spans="1:16">
      <c r="A82" s="42" t="str">
        <f>VLOOKUP(E82,'Soort voorraad'!A:B,2,FALSE)</f>
        <v>Grijpvoorraad</v>
      </c>
      <c r="B82" t="s">
        <v>321</v>
      </c>
      <c r="C82" t="s">
        <v>322</v>
      </c>
      <c r="D82" t="s">
        <v>323</v>
      </c>
      <c r="E82" t="s">
        <v>934</v>
      </c>
      <c r="F82" t="s">
        <v>935</v>
      </c>
      <c r="G82" t="s">
        <v>1895</v>
      </c>
      <c r="H82">
        <v>12</v>
      </c>
      <c r="I82">
        <v>1</v>
      </c>
      <c r="J82">
        <v>2</v>
      </c>
      <c r="K82">
        <v>0</v>
      </c>
      <c r="L82">
        <v>0</v>
      </c>
      <c r="M82">
        <v>2</v>
      </c>
      <c r="N82">
        <v>55.2</v>
      </c>
      <c r="O82" t="s">
        <v>328</v>
      </c>
      <c r="P82">
        <v>110.4</v>
      </c>
    </row>
    <row r="83" spans="1:16">
      <c r="A83" s="42" t="str">
        <f>VLOOKUP(E83,'Soort voorraad'!A:B,2,FALSE)</f>
        <v>Grijpvoorraad</v>
      </c>
      <c r="B83" t="s">
        <v>321</v>
      </c>
      <c r="C83" t="s">
        <v>322</v>
      </c>
      <c r="D83" t="s">
        <v>323</v>
      </c>
      <c r="E83" t="s">
        <v>936</v>
      </c>
      <c r="F83" t="s">
        <v>937</v>
      </c>
      <c r="G83" t="s">
        <v>1896</v>
      </c>
      <c r="H83">
        <v>12</v>
      </c>
      <c r="I83">
        <v>1</v>
      </c>
      <c r="J83">
        <v>1</v>
      </c>
      <c r="K83">
        <v>0</v>
      </c>
      <c r="L83">
        <v>0</v>
      </c>
      <c r="M83">
        <v>1</v>
      </c>
      <c r="N83">
        <v>124</v>
      </c>
      <c r="O83" t="s">
        <v>328</v>
      </c>
      <c r="P83">
        <v>124</v>
      </c>
    </row>
    <row r="84" spans="1:16">
      <c r="A84" s="42" t="str">
        <f>VLOOKUP(E84,'Soort voorraad'!A:B,2,FALSE)</f>
        <v>Grijpvoorraad</v>
      </c>
      <c r="B84" t="s">
        <v>321</v>
      </c>
      <c r="C84" t="s">
        <v>322</v>
      </c>
      <c r="D84" t="s">
        <v>323</v>
      </c>
      <c r="E84" t="s">
        <v>938</v>
      </c>
      <c r="F84" t="s">
        <v>939</v>
      </c>
      <c r="G84" t="s">
        <v>1897</v>
      </c>
      <c r="H84">
        <v>12</v>
      </c>
      <c r="I84">
        <v>1</v>
      </c>
      <c r="J84">
        <v>1</v>
      </c>
      <c r="K84">
        <v>0</v>
      </c>
      <c r="L84">
        <v>0</v>
      </c>
      <c r="M84">
        <v>1</v>
      </c>
      <c r="N84">
        <v>123.98</v>
      </c>
      <c r="O84" t="s">
        <v>328</v>
      </c>
      <c r="P84">
        <v>123.98</v>
      </c>
    </row>
    <row r="85" spans="1:16">
      <c r="A85" s="42" t="str">
        <f>VLOOKUP(E85,'Soort voorraad'!A:B,2,FALSE)</f>
        <v>Grijpvoorraad</v>
      </c>
      <c r="B85" t="s">
        <v>321</v>
      </c>
      <c r="C85" t="s">
        <v>322</v>
      </c>
      <c r="D85" t="s">
        <v>323</v>
      </c>
      <c r="E85" t="s">
        <v>940</v>
      </c>
      <c r="F85" t="s">
        <v>941</v>
      </c>
      <c r="G85" t="s">
        <v>1898</v>
      </c>
      <c r="H85">
        <v>24</v>
      </c>
      <c r="I85">
        <v>12</v>
      </c>
      <c r="J85">
        <v>12</v>
      </c>
      <c r="K85">
        <v>0</v>
      </c>
      <c r="L85">
        <v>0</v>
      </c>
      <c r="M85">
        <v>12</v>
      </c>
      <c r="N85">
        <v>11.78</v>
      </c>
      <c r="O85" t="s">
        <v>121</v>
      </c>
      <c r="P85">
        <v>141.36000000000001</v>
      </c>
    </row>
    <row r="86" spans="1:16">
      <c r="A86" s="42" t="str">
        <f>VLOOKUP(E86,'Soort voorraad'!A:B,2,FALSE)</f>
        <v>Grijpvoorraad</v>
      </c>
      <c r="B86" t="s">
        <v>321</v>
      </c>
      <c r="C86" t="s">
        <v>322</v>
      </c>
      <c r="D86" t="s">
        <v>323</v>
      </c>
      <c r="E86" t="s">
        <v>942</v>
      </c>
      <c r="F86" t="s">
        <v>943</v>
      </c>
      <c r="G86" t="s">
        <v>1899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5.0199999999999996</v>
      </c>
      <c r="O86" t="s">
        <v>121</v>
      </c>
      <c r="P86">
        <v>0</v>
      </c>
    </row>
    <row r="87" spans="1:16">
      <c r="A87" s="42" t="str">
        <f>VLOOKUP(E87,'Soort voorraad'!A:B,2,FALSE)</f>
        <v>Grijpvoorraad</v>
      </c>
      <c r="B87" t="s">
        <v>321</v>
      </c>
      <c r="C87" t="s">
        <v>322</v>
      </c>
      <c r="D87" t="s">
        <v>323</v>
      </c>
      <c r="E87" t="s">
        <v>324</v>
      </c>
      <c r="F87" t="s">
        <v>325</v>
      </c>
      <c r="G87" t="s">
        <v>1900</v>
      </c>
      <c r="H87">
        <v>80</v>
      </c>
      <c r="I87">
        <v>10</v>
      </c>
      <c r="J87">
        <v>26</v>
      </c>
      <c r="K87">
        <v>0</v>
      </c>
      <c r="L87">
        <v>0</v>
      </c>
      <c r="M87">
        <v>26</v>
      </c>
      <c r="N87">
        <v>16.440000000000001</v>
      </c>
      <c r="O87" t="s">
        <v>326</v>
      </c>
      <c r="P87">
        <v>427.44</v>
      </c>
    </row>
    <row r="88" spans="1:16">
      <c r="A88" s="42" t="str">
        <f>VLOOKUP(E88,'Soort voorraad'!A:B,2,FALSE)</f>
        <v>Projectvoorraad</v>
      </c>
      <c r="B88" t="s">
        <v>321</v>
      </c>
      <c r="C88" t="s">
        <v>322</v>
      </c>
      <c r="D88" t="s">
        <v>323</v>
      </c>
      <c r="E88" t="s">
        <v>2412</v>
      </c>
      <c r="F88" t="s">
        <v>2413</v>
      </c>
      <c r="G88" t="s">
        <v>1901</v>
      </c>
      <c r="H88">
        <v>15</v>
      </c>
      <c r="I88">
        <v>10</v>
      </c>
      <c r="J88">
        <v>19</v>
      </c>
      <c r="K88">
        <v>0</v>
      </c>
      <c r="L88">
        <v>0</v>
      </c>
      <c r="M88">
        <v>19</v>
      </c>
      <c r="N88">
        <v>1.61</v>
      </c>
      <c r="O88" t="s">
        <v>121</v>
      </c>
      <c r="P88">
        <v>30.59</v>
      </c>
    </row>
    <row r="89" spans="1:16">
      <c r="A89" s="42" t="str">
        <f>VLOOKUP(E89,'Soort voorraad'!A:B,2,FALSE)</f>
        <v>Projectvoorraad</v>
      </c>
      <c r="B89" t="s">
        <v>321</v>
      </c>
      <c r="C89" t="s">
        <v>322</v>
      </c>
      <c r="D89" t="s">
        <v>323</v>
      </c>
      <c r="E89" t="s">
        <v>2452</v>
      </c>
      <c r="F89" t="s">
        <v>2453</v>
      </c>
      <c r="G89" t="s">
        <v>1901</v>
      </c>
      <c r="H89">
        <v>10</v>
      </c>
      <c r="I89">
        <v>5</v>
      </c>
      <c r="J89">
        <v>15</v>
      </c>
      <c r="K89">
        <v>0</v>
      </c>
      <c r="L89">
        <v>0</v>
      </c>
      <c r="M89">
        <v>15</v>
      </c>
      <c r="N89">
        <v>12</v>
      </c>
      <c r="O89" t="s">
        <v>121</v>
      </c>
      <c r="P89">
        <v>180</v>
      </c>
    </row>
    <row r="90" spans="1:16">
      <c r="A90" s="42" t="str">
        <f>VLOOKUP(E90,'Soort voorraad'!A:B,2,FALSE)</f>
        <v>Projectvoorraad</v>
      </c>
      <c r="B90" t="s">
        <v>321</v>
      </c>
      <c r="C90" t="s">
        <v>322</v>
      </c>
      <c r="D90" t="s">
        <v>323</v>
      </c>
      <c r="E90" t="s">
        <v>2414</v>
      </c>
      <c r="F90" t="s">
        <v>2415</v>
      </c>
      <c r="G90" t="s">
        <v>1902</v>
      </c>
      <c r="H90">
        <v>15</v>
      </c>
      <c r="I90">
        <v>10</v>
      </c>
      <c r="J90">
        <v>15</v>
      </c>
      <c r="K90">
        <v>0</v>
      </c>
      <c r="L90">
        <v>0</v>
      </c>
      <c r="M90">
        <v>15</v>
      </c>
      <c r="N90">
        <v>4.22</v>
      </c>
      <c r="O90" t="s">
        <v>121</v>
      </c>
      <c r="P90">
        <v>63.3</v>
      </c>
    </row>
    <row r="91" spans="1:16">
      <c r="A91" s="42" t="str">
        <f>VLOOKUP(E91,'Soort voorraad'!A:B,2,FALSE)</f>
        <v>Projectvoorraad</v>
      </c>
      <c r="B91" t="s">
        <v>321</v>
      </c>
      <c r="C91" t="s">
        <v>322</v>
      </c>
      <c r="D91" t="s">
        <v>323</v>
      </c>
      <c r="E91" t="s">
        <v>2416</v>
      </c>
      <c r="F91" t="s">
        <v>2417</v>
      </c>
      <c r="G91" t="s">
        <v>1903</v>
      </c>
      <c r="H91">
        <v>15</v>
      </c>
      <c r="I91">
        <v>10</v>
      </c>
      <c r="J91">
        <v>14</v>
      </c>
      <c r="K91">
        <v>0</v>
      </c>
      <c r="L91">
        <v>0</v>
      </c>
      <c r="M91">
        <v>14</v>
      </c>
      <c r="N91">
        <v>4.22</v>
      </c>
      <c r="O91" t="s">
        <v>121</v>
      </c>
      <c r="P91">
        <v>59.08</v>
      </c>
    </row>
    <row r="92" spans="1:16">
      <c r="A92" s="42" t="str">
        <f>VLOOKUP(E92,'Soort voorraad'!A:B,2,FALSE)</f>
        <v>Projectvoorraad</v>
      </c>
      <c r="B92" t="s">
        <v>321</v>
      </c>
      <c r="C92" t="s">
        <v>322</v>
      </c>
      <c r="D92" t="s">
        <v>323</v>
      </c>
      <c r="E92" t="s">
        <v>2418</v>
      </c>
      <c r="F92" t="s">
        <v>2419</v>
      </c>
      <c r="G92" t="s">
        <v>2420</v>
      </c>
      <c r="H92">
        <v>15</v>
      </c>
      <c r="I92">
        <v>10</v>
      </c>
      <c r="J92">
        <v>9</v>
      </c>
      <c r="K92">
        <v>0</v>
      </c>
      <c r="L92">
        <v>0</v>
      </c>
      <c r="M92">
        <v>9</v>
      </c>
      <c r="N92">
        <v>4.49</v>
      </c>
      <c r="O92" t="s">
        <v>121</v>
      </c>
      <c r="P92">
        <v>40.409999999999997</v>
      </c>
    </row>
    <row r="93" spans="1:16">
      <c r="A93" s="42" t="str">
        <f>VLOOKUP(E93,'Soort voorraad'!A:B,2,FALSE)</f>
        <v>Projectvoorraad</v>
      </c>
      <c r="B93" t="s">
        <v>321</v>
      </c>
      <c r="C93" t="s">
        <v>322</v>
      </c>
      <c r="D93" t="s">
        <v>323</v>
      </c>
      <c r="E93" t="s">
        <v>2421</v>
      </c>
      <c r="F93" t="s">
        <v>2422</v>
      </c>
      <c r="G93" t="s">
        <v>2423</v>
      </c>
      <c r="H93">
        <v>15</v>
      </c>
      <c r="I93">
        <v>10</v>
      </c>
      <c r="J93">
        <v>12</v>
      </c>
      <c r="K93">
        <v>0</v>
      </c>
      <c r="L93">
        <v>0</v>
      </c>
      <c r="M93">
        <v>12</v>
      </c>
      <c r="N93">
        <v>4.33</v>
      </c>
      <c r="O93" t="s">
        <v>121</v>
      </c>
      <c r="P93">
        <v>51.96</v>
      </c>
    </row>
    <row r="94" spans="1:16">
      <c r="A94" s="42" t="str">
        <f>VLOOKUP(E94,'Soort voorraad'!A:B,2,FALSE)</f>
        <v>Projectvoorraad</v>
      </c>
      <c r="B94" t="s">
        <v>321</v>
      </c>
      <c r="C94" t="s">
        <v>322</v>
      </c>
      <c r="D94" t="s">
        <v>323</v>
      </c>
      <c r="E94" t="s">
        <v>271</v>
      </c>
      <c r="F94" t="s">
        <v>329</v>
      </c>
      <c r="G94" t="s">
        <v>2454</v>
      </c>
      <c r="H94">
        <v>100</v>
      </c>
      <c r="I94">
        <v>25</v>
      </c>
      <c r="J94">
        <v>34</v>
      </c>
      <c r="K94">
        <v>0</v>
      </c>
      <c r="L94">
        <v>0</v>
      </c>
      <c r="M94">
        <v>34</v>
      </c>
      <c r="N94">
        <v>1.31</v>
      </c>
      <c r="O94" t="s">
        <v>121</v>
      </c>
      <c r="P94">
        <v>44.54</v>
      </c>
    </row>
    <row r="95" spans="1:16">
      <c r="A95" s="42" t="str">
        <f>VLOOKUP(E95,'Soort voorraad'!A:B,2,FALSE)</f>
        <v>Projectvoorraad</v>
      </c>
      <c r="B95" t="s">
        <v>321</v>
      </c>
      <c r="C95" t="s">
        <v>322</v>
      </c>
      <c r="D95" t="s">
        <v>323</v>
      </c>
      <c r="E95" t="s">
        <v>270</v>
      </c>
      <c r="F95" t="s">
        <v>1771</v>
      </c>
      <c r="G95" t="s">
        <v>2455</v>
      </c>
      <c r="H95">
        <v>30</v>
      </c>
      <c r="I95">
        <v>10</v>
      </c>
      <c r="J95">
        <v>28</v>
      </c>
      <c r="K95">
        <v>0</v>
      </c>
      <c r="L95">
        <v>0</v>
      </c>
      <c r="M95">
        <v>28</v>
      </c>
      <c r="N95">
        <v>11.06</v>
      </c>
      <c r="O95" t="s">
        <v>121</v>
      </c>
      <c r="P95">
        <v>309.77999999999997</v>
      </c>
    </row>
    <row r="96" spans="1:16">
      <c r="A96" s="42" t="str">
        <f>VLOOKUP(E96,'Soort voorraad'!A:B,2,FALSE)</f>
        <v>Projectvoorraad</v>
      </c>
      <c r="B96" t="s">
        <v>321</v>
      </c>
      <c r="C96" t="s">
        <v>322</v>
      </c>
      <c r="D96" t="s">
        <v>323</v>
      </c>
      <c r="E96" t="s">
        <v>269</v>
      </c>
      <c r="F96" t="s">
        <v>1037</v>
      </c>
      <c r="G96" t="s">
        <v>2456</v>
      </c>
      <c r="H96">
        <v>15</v>
      </c>
      <c r="I96">
        <v>10</v>
      </c>
      <c r="J96">
        <v>9</v>
      </c>
      <c r="K96">
        <v>15</v>
      </c>
      <c r="L96">
        <v>0</v>
      </c>
      <c r="M96">
        <v>24</v>
      </c>
      <c r="N96">
        <v>32.479999999999997</v>
      </c>
      <c r="O96" t="s">
        <v>121</v>
      </c>
      <c r="P96">
        <v>292.33</v>
      </c>
    </row>
    <row r="97" spans="1:16">
      <c r="A97" s="42" t="str">
        <f>VLOOKUP(E97,'Soort voorraad'!A:B,2,FALSE)</f>
        <v>Projectvoorraad</v>
      </c>
      <c r="B97" t="s">
        <v>321</v>
      </c>
      <c r="C97" t="s">
        <v>322</v>
      </c>
      <c r="D97" t="s">
        <v>323</v>
      </c>
      <c r="E97" t="s">
        <v>258</v>
      </c>
      <c r="F97" t="s">
        <v>1038</v>
      </c>
      <c r="G97" t="s">
        <v>2457</v>
      </c>
      <c r="H97">
        <v>15</v>
      </c>
      <c r="I97">
        <v>10</v>
      </c>
      <c r="J97">
        <v>24</v>
      </c>
      <c r="K97">
        <v>0</v>
      </c>
      <c r="L97">
        <v>0</v>
      </c>
      <c r="M97">
        <v>24</v>
      </c>
      <c r="N97">
        <v>42.21</v>
      </c>
      <c r="O97" t="s">
        <v>121</v>
      </c>
      <c r="P97">
        <v>1013.01</v>
      </c>
    </row>
    <row r="98" spans="1:16">
      <c r="A98" s="42" t="str">
        <f>VLOOKUP(E98,'Soort voorraad'!A:B,2,FALSE)</f>
        <v>Projectvoorraad</v>
      </c>
      <c r="B98" t="s">
        <v>321</v>
      </c>
      <c r="C98" t="s">
        <v>322</v>
      </c>
      <c r="D98" t="s">
        <v>323</v>
      </c>
      <c r="E98" t="s">
        <v>2424</v>
      </c>
      <c r="F98" t="s">
        <v>2425</v>
      </c>
      <c r="G98" t="s">
        <v>2426</v>
      </c>
      <c r="H98">
        <v>15</v>
      </c>
      <c r="I98">
        <v>10</v>
      </c>
      <c r="J98">
        <v>16</v>
      </c>
      <c r="K98">
        <v>0</v>
      </c>
      <c r="L98">
        <v>0</v>
      </c>
      <c r="M98">
        <v>16</v>
      </c>
      <c r="N98">
        <v>3.29</v>
      </c>
      <c r="O98" t="s">
        <v>121</v>
      </c>
      <c r="P98">
        <v>52.64</v>
      </c>
    </row>
    <row r="99" spans="1:16">
      <c r="A99" s="42" t="str">
        <f>VLOOKUP(E99,'Soort voorraad'!A:B,2,FALSE)</f>
        <v>Projectvoorraad</v>
      </c>
      <c r="B99" t="s">
        <v>321</v>
      </c>
      <c r="C99" t="s">
        <v>322</v>
      </c>
      <c r="D99" t="s">
        <v>323</v>
      </c>
      <c r="E99" t="s">
        <v>2427</v>
      </c>
      <c r="F99" t="s">
        <v>2428</v>
      </c>
      <c r="G99" t="s">
        <v>2426</v>
      </c>
      <c r="H99">
        <v>15</v>
      </c>
      <c r="I99">
        <v>10</v>
      </c>
      <c r="J99">
        <v>15</v>
      </c>
      <c r="K99">
        <v>0</v>
      </c>
      <c r="L99">
        <v>0</v>
      </c>
      <c r="M99">
        <v>15</v>
      </c>
      <c r="N99">
        <v>14.45</v>
      </c>
      <c r="O99" t="s">
        <v>121</v>
      </c>
      <c r="P99">
        <v>216.75</v>
      </c>
    </row>
    <row r="100" spans="1:16">
      <c r="A100" s="42" t="str">
        <f>VLOOKUP(E100,'Soort voorraad'!A:B,2,FALSE)</f>
        <v>Projectvoorraad</v>
      </c>
      <c r="B100" t="s">
        <v>321</v>
      </c>
      <c r="C100" t="s">
        <v>322</v>
      </c>
      <c r="D100" t="s">
        <v>323</v>
      </c>
      <c r="E100" t="s">
        <v>2429</v>
      </c>
      <c r="F100" t="s">
        <v>2430</v>
      </c>
      <c r="G100" t="s">
        <v>1904</v>
      </c>
      <c r="H100">
        <v>15</v>
      </c>
      <c r="I100">
        <v>10</v>
      </c>
      <c r="J100">
        <v>15</v>
      </c>
      <c r="K100">
        <v>0</v>
      </c>
      <c r="L100">
        <v>0</v>
      </c>
      <c r="M100">
        <v>15</v>
      </c>
      <c r="N100">
        <v>7.24</v>
      </c>
      <c r="O100" t="s">
        <v>121</v>
      </c>
      <c r="P100">
        <v>108.6</v>
      </c>
    </row>
    <row r="101" spans="1:16">
      <c r="A101" s="42" t="str">
        <f>VLOOKUP(E101,'Soort voorraad'!A:B,2,FALSE)</f>
        <v>Projectvoorraad</v>
      </c>
      <c r="B101" t="s">
        <v>321</v>
      </c>
      <c r="C101" t="s">
        <v>322</v>
      </c>
      <c r="D101" t="s">
        <v>323</v>
      </c>
      <c r="E101" t="s">
        <v>2431</v>
      </c>
      <c r="F101" t="s">
        <v>2432</v>
      </c>
      <c r="G101" t="s">
        <v>2433</v>
      </c>
      <c r="H101">
        <v>15</v>
      </c>
      <c r="I101">
        <v>10</v>
      </c>
      <c r="J101">
        <v>15</v>
      </c>
      <c r="K101">
        <v>0</v>
      </c>
      <c r="L101">
        <v>0</v>
      </c>
      <c r="M101">
        <v>15</v>
      </c>
      <c r="N101">
        <v>5.5</v>
      </c>
      <c r="O101" t="s">
        <v>121</v>
      </c>
      <c r="P101">
        <v>82.5</v>
      </c>
    </row>
    <row r="102" spans="1:16">
      <c r="A102" s="42" t="str">
        <f>VLOOKUP(E102,'Soort voorraad'!A:B,2,FALSE)</f>
        <v>Projectvoorraad</v>
      </c>
      <c r="B102" t="s">
        <v>321</v>
      </c>
      <c r="C102" t="s">
        <v>322</v>
      </c>
      <c r="D102" t="s">
        <v>323</v>
      </c>
      <c r="E102" t="s">
        <v>2434</v>
      </c>
      <c r="F102" t="s">
        <v>2435</v>
      </c>
      <c r="G102" t="s">
        <v>1905</v>
      </c>
      <c r="H102">
        <v>15</v>
      </c>
      <c r="I102">
        <v>10</v>
      </c>
      <c r="J102">
        <v>14</v>
      </c>
      <c r="K102">
        <v>0</v>
      </c>
      <c r="L102">
        <v>0</v>
      </c>
      <c r="M102">
        <v>14</v>
      </c>
      <c r="N102">
        <v>7.75</v>
      </c>
      <c r="O102" t="s">
        <v>121</v>
      </c>
      <c r="P102">
        <v>108.5</v>
      </c>
    </row>
    <row r="103" spans="1:16">
      <c r="A103" s="42" t="str">
        <f>VLOOKUP(E103,'Soort voorraad'!A:B,2,FALSE)</f>
        <v>Projectvoorraad</v>
      </c>
      <c r="B103" t="s">
        <v>321</v>
      </c>
      <c r="C103" t="s">
        <v>322</v>
      </c>
      <c r="D103" t="s">
        <v>323</v>
      </c>
      <c r="E103" t="s">
        <v>2436</v>
      </c>
      <c r="F103" t="s">
        <v>2437</v>
      </c>
      <c r="G103" t="s">
        <v>2438</v>
      </c>
      <c r="H103">
        <v>15</v>
      </c>
      <c r="I103">
        <v>10</v>
      </c>
      <c r="J103">
        <v>13</v>
      </c>
      <c r="K103">
        <v>0</v>
      </c>
      <c r="L103">
        <v>0</v>
      </c>
      <c r="M103">
        <v>13</v>
      </c>
      <c r="N103">
        <v>8.1199999999999992</v>
      </c>
      <c r="O103" t="s">
        <v>121</v>
      </c>
      <c r="P103">
        <v>105.56</v>
      </c>
    </row>
    <row r="104" spans="1:16">
      <c r="A104" s="42" t="str">
        <f>VLOOKUP(E104,'Soort voorraad'!A:B,2,FALSE)</f>
        <v>Projectvoorraad</v>
      </c>
      <c r="B104" t="s">
        <v>321</v>
      </c>
      <c r="C104" t="s">
        <v>322</v>
      </c>
      <c r="D104" t="s">
        <v>323</v>
      </c>
      <c r="E104" t="s">
        <v>220</v>
      </c>
      <c r="F104" t="s">
        <v>1035</v>
      </c>
      <c r="G104" t="s">
        <v>1906</v>
      </c>
      <c r="H104">
        <v>15</v>
      </c>
      <c r="I104">
        <v>5</v>
      </c>
      <c r="J104">
        <v>24</v>
      </c>
      <c r="K104">
        <v>0</v>
      </c>
      <c r="L104">
        <v>0</v>
      </c>
      <c r="M104">
        <v>24</v>
      </c>
      <c r="N104">
        <v>5.32</v>
      </c>
      <c r="O104" t="s">
        <v>121</v>
      </c>
      <c r="P104">
        <v>127.68</v>
      </c>
    </row>
    <row r="105" spans="1:16">
      <c r="A105" s="42" t="str">
        <f>VLOOKUP(E105,'Soort voorraad'!A:B,2,FALSE)</f>
        <v>Projectvoorraad</v>
      </c>
      <c r="B105" t="s">
        <v>321</v>
      </c>
      <c r="C105" t="s">
        <v>322</v>
      </c>
      <c r="D105" t="s">
        <v>323</v>
      </c>
      <c r="E105" t="s">
        <v>217</v>
      </c>
      <c r="F105" t="s">
        <v>1031</v>
      </c>
      <c r="G105" t="s">
        <v>1907</v>
      </c>
      <c r="H105">
        <v>25</v>
      </c>
      <c r="I105">
        <v>20</v>
      </c>
      <c r="J105">
        <v>32</v>
      </c>
      <c r="K105">
        <v>0</v>
      </c>
      <c r="L105">
        <v>0</v>
      </c>
      <c r="M105">
        <v>32</v>
      </c>
      <c r="N105">
        <v>1.54</v>
      </c>
      <c r="O105" t="s">
        <v>121</v>
      </c>
      <c r="P105">
        <v>49.28</v>
      </c>
    </row>
    <row r="106" spans="1:16">
      <c r="A106" s="42" t="str">
        <f>VLOOKUP(E106,'Soort voorraad'!A:B,2,FALSE)</f>
        <v>Projectvoorraad</v>
      </c>
      <c r="B106" t="s">
        <v>321</v>
      </c>
      <c r="C106" t="s">
        <v>322</v>
      </c>
      <c r="D106" t="s">
        <v>323</v>
      </c>
      <c r="E106" t="s">
        <v>201</v>
      </c>
      <c r="F106" t="s">
        <v>1032</v>
      </c>
      <c r="G106" t="s">
        <v>1908</v>
      </c>
      <c r="H106">
        <v>20</v>
      </c>
      <c r="I106">
        <v>10</v>
      </c>
      <c r="J106">
        <v>69</v>
      </c>
      <c r="K106">
        <v>0</v>
      </c>
      <c r="L106">
        <v>0</v>
      </c>
      <c r="M106">
        <v>69</v>
      </c>
      <c r="N106">
        <v>2.73</v>
      </c>
      <c r="O106" t="s">
        <v>121</v>
      </c>
      <c r="P106">
        <v>188.37</v>
      </c>
    </row>
    <row r="107" spans="1:16">
      <c r="A107" s="42" t="str">
        <f>VLOOKUP(E107,'Soort voorraad'!A:B,2,FALSE)</f>
        <v>Projectvoorraad</v>
      </c>
      <c r="B107" t="s">
        <v>321</v>
      </c>
      <c r="C107" t="s">
        <v>322</v>
      </c>
      <c r="D107" t="s">
        <v>323</v>
      </c>
      <c r="E107" t="s">
        <v>210</v>
      </c>
      <c r="F107" t="s">
        <v>1033</v>
      </c>
      <c r="G107" t="s">
        <v>1909</v>
      </c>
      <c r="H107">
        <v>15</v>
      </c>
      <c r="I107">
        <v>5</v>
      </c>
      <c r="J107">
        <v>16</v>
      </c>
      <c r="K107">
        <v>0</v>
      </c>
      <c r="L107">
        <v>0</v>
      </c>
      <c r="M107">
        <v>16</v>
      </c>
      <c r="N107">
        <v>7.4</v>
      </c>
      <c r="O107" t="s">
        <v>121</v>
      </c>
      <c r="P107">
        <v>118.4</v>
      </c>
    </row>
    <row r="108" spans="1:16">
      <c r="A108" s="42" t="str">
        <f>VLOOKUP(E108,'Soort voorraad'!A:B,2,FALSE)</f>
        <v>Projectvoorraad</v>
      </c>
      <c r="B108" t="s">
        <v>321</v>
      </c>
      <c r="C108" t="s">
        <v>322</v>
      </c>
      <c r="D108" t="s">
        <v>323</v>
      </c>
      <c r="E108" t="s">
        <v>225</v>
      </c>
      <c r="F108" t="s">
        <v>1034</v>
      </c>
      <c r="G108" t="s">
        <v>1910</v>
      </c>
      <c r="H108">
        <v>20</v>
      </c>
      <c r="I108">
        <v>10</v>
      </c>
      <c r="J108">
        <v>62</v>
      </c>
      <c r="K108">
        <v>0</v>
      </c>
      <c r="L108">
        <v>0</v>
      </c>
      <c r="M108">
        <v>62</v>
      </c>
      <c r="N108">
        <v>4.2</v>
      </c>
      <c r="O108" t="s">
        <v>121</v>
      </c>
      <c r="P108">
        <v>260.39999999999998</v>
      </c>
    </row>
    <row r="109" spans="1:16">
      <c r="A109" s="42" t="str">
        <f>VLOOKUP(E109,'Soort voorraad'!A:B,2,FALSE)</f>
        <v>Projectvoorraad</v>
      </c>
      <c r="B109" t="s">
        <v>321</v>
      </c>
      <c r="C109" t="s">
        <v>322</v>
      </c>
      <c r="D109" t="s">
        <v>323</v>
      </c>
      <c r="E109" t="s">
        <v>207</v>
      </c>
      <c r="F109" t="s">
        <v>1025</v>
      </c>
      <c r="G109" t="s">
        <v>1911</v>
      </c>
      <c r="H109">
        <v>20</v>
      </c>
      <c r="I109">
        <v>10</v>
      </c>
      <c r="J109">
        <v>11</v>
      </c>
      <c r="K109">
        <v>20</v>
      </c>
      <c r="L109">
        <v>0</v>
      </c>
      <c r="M109">
        <v>31</v>
      </c>
      <c r="N109">
        <v>4.05</v>
      </c>
      <c r="O109" t="s">
        <v>121</v>
      </c>
      <c r="P109">
        <v>44.55</v>
      </c>
    </row>
    <row r="110" spans="1:16">
      <c r="A110" s="42" t="str">
        <f>VLOOKUP(E110,'Soort voorraad'!A:B,2,FALSE)</f>
        <v>Projectvoorraad</v>
      </c>
      <c r="B110" t="s">
        <v>321</v>
      </c>
      <c r="C110" t="s">
        <v>322</v>
      </c>
      <c r="D110" t="s">
        <v>323</v>
      </c>
      <c r="E110" t="s">
        <v>187</v>
      </c>
      <c r="F110" t="s">
        <v>1026</v>
      </c>
      <c r="G110" t="s">
        <v>1912</v>
      </c>
      <c r="H110">
        <v>50</v>
      </c>
      <c r="I110">
        <v>10</v>
      </c>
      <c r="J110">
        <v>82</v>
      </c>
      <c r="K110">
        <v>0</v>
      </c>
      <c r="L110">
        <v>0</v>
      </c>
      <c r="M110">
        <v>82</v>
      </c>
      <c r="N110">
        <v>3.91</v>
      </c>
      <c r="O110" t="s">
        <v>121</v>
      </c>
      <c r="P110">
        <v>320.48</v>
      </c>
    </row>
    <row r="111" spans="1:16">
      <c r="A111" s="42" t="str">
        <f>VLOOKUP(E111,'Soort voorraad'!A:B,2,FALSE)</f>
        <v>Projectvoorraad</v>
      </c>
      <c r="B111" t="s">
        <v>321</v>
      </c>
      <c r="C111" t="s">
        <v>322</v>
      </c>
      <c r="D111" t="s">
        <v>323</v>
      </c>
      <c r="E111" t="s">
        <v>263</v>
      </c>
      <c r="F111" t="s">
        <v>1690</v>
      </c>
      <c r="G111" t="s">
        <v>1913</v>
      </c>
      <c r="H111">
        <v>50</v>
      </c>
      <c r="I111">
        <v>25</v>
      </c>
      <c r="J111">
        <v>23</v>
      </c>
      <c r="K111">
        <v>0</v>
      </c>
      <c r="L111">
        <v>0</v>
      </c>
      <c r="M111">
        <v>23</v>
      </c>
      <c r="N111">
        <v>4.42</v>
      </c>
      <c r="O111" t="s">
        <v>121</v>
      </c>
      <c r="P111">
        <v>101.76</v>
      </c>
    </row>
    <row r="112" spans="1:16">
      <c r="A112" s="42" t="str">
        <f>VLOOKUP(E112,'Soort voorraad'!A:B,2,FALSE)</f>
        <v>Projectvoorraad</v>
      </c>
      <c r="B112" t="s">
        <v>321</v>
      </c>
      <c r="C112" t="s">
        <v>322</v>
      </c>
      <c r="D112" t="s">
        <v>323</v>
      </c>
      <c r="E112" t="s">
        <v>266</v>
      </c>
      <c r="F112" t="s">
        <v>1689</v>
      </c>
      <c r="G112" t="s">
        <v>1914</v>
      </c>
      <c r="H112">
        <v>25</v>
      </c>
      <c r="I112">
        <v>20</v>
      </c>
      <c r="J112">
        <v>38</v>
      </c>
      <c r="K112">
        <v>0</v>
      </c>
      <c r="L112">
        <v>0</v>
      </c>
      <c r="M112">
        <v>38</v>
      </c>
      <c r="N112">
        <v>4.28</v>
      </c>
      <c r="O112" t="s">
        <v>121</v>
      </c>
      <c r="P112">
        <v>162.5</v>
      </c>
    </row>
    <row r="113" spans="1:16">
      <c r="A113" s="42" t="str">
        <f>VLOOKUP(E113,'Soort voorraad'!A:B,2,FALSE)</f>
        <v>Projectvoorraad</v>
      </c>
      <c r="B113" t="s">
        <v>321</v>
      </c>
      <c r="C113" t="s">
        <v>322</v>
      </c>
      <c r="D113" t="s">
        <v>323</v>
      </c>
      <c r="E113" t="s">
        <v>199</v>
      </c>
      <c r="F113" t="s">
        <v>1027</v>
      </c>
      <c r="G113" t="s">
        <v>1915</v>
      </c>
      <c r="H113">
        <v>15</v>
      </c>
      <c r="I113">
        <v>5</v>
      </c>
      <c r="J113">
        <v>35</v>
      </c>
      <c r="K113">
        <v>0</v>
      </c>
      <c r="L113">
        <v>0</v>
      </c>
      <c r="M113">
        <v>35</v>
      </c>
      <c r="N113">
        <v>3.1</v>
      </c>
      <c r="O113" t="s">
        <v>121</v>
      </c>
      <c r="P113">
        <v>108.5</v>
      </c>
    </row>
    <row r="114" spans="1:16">
      <c r="A114" s="42" t="str">
        <f>VLOOKUP(E114,'Soort voorraad'!A:B,2,FALSE)</f>
        <v>Projectvoorraad</v>
      </c>
      <c r="B114" t="s">
        <v>321</v>
      </c>
      <c r="C114" t="s">
        <v>322</v>
      </c>
      <c r="D114" t="s">
        <v>323</v>
      </c>
      <c r="E114" t="s">
        <v>195</v>
      </c>
      <c r="F114" t="s">
        <v>1028</v>
      </c>
      <c r="G114" t="s">
        <v>1916</v>
      </c>
      <c r="H114">
        <v>10</v>
      </c>
      <c r="I114">
        <v>20</v>
      </c>
      <c r="J114">
        <v>213</v>
      </c>
      <c r="K114">
        <v>0</v>
      </c>
      <c r="L114">
        <v>0</v>
      </c>
      <c r="M114">
        <v>213</v>
      </c>
      <c r="N114">
        <v>2.99</v>
      </c>
      <c r="O114" t="s">
        <v>121</v>
      </c>
      <c r="P114">
        <v>636.87</v>
      </c>
    </row>
    <row r="115" spans="1:16">
      <c r="A115" s="42" t="str">
        <f>VLOOKUP(E115,'Soort voorraad'!A:B,2,FALSE)</f>
        <v>Projectvoorraad</v>
      </c>
      <c r="B115" t="s">
        <v>321</v>
      </c>
      <c r="C115" t="s">
        <v>322</v>
      </c>
      <c r="D115" t="s">
        <v>323</v>
      </c>
      <c r="E115" t="s">
        <v>211</v>
      </c>
      <c r="F115" t="s">
        <v>1029</v>
      </c>
      <c r="G115" t="s">
        <v>1917</v>
      </c>
      <c r="H115">
        <v>20</v>
      </c>
      <c r="I115">
        <v>10</v>
      </c>
      <c r="J115">
        <v>102</v>
      </c>
      <c r="K115">
        <v>0</v>
      </c>
      <c r="L115">
        <v>0</v>
      </c>
      <c r="M115">
        <v>102</v>
      </c>
      <c r="N115">
        <v>11.45</v>
      </c>
      <c r="O115" t="s">
        <v>121</v>
      </c>
      <c r="P115">
        <v>1167.9000000000001</v>
      </c>
    </row>
    <row r="116" spans="1:16">
      <c r="A116" s="42" t="str">
        <f>VLOOKUP(E116,'Soort voorraad'!A:B,2,FALSE)</f>
        <v>Projectvoorraad</v>
      </c>
      <c r="B116" t="s">
        <v>321</v>
      </c>
      <c r="C116" t="s">
        <v>322</v>
      </c>
      <c r="D116" t="s">
        <v>323</v>
      </c>
      <c r="E116" t="s">
        <v>222</v>
      </c>
      <c r="F116" t="s">
        <v>1030</v>
      </c>
      <c r="G116" t="s">
        <v>1918</v>
      </c>
      <c r="H116">
        <v>20</v>
      </c>
      <c r="I116">
        <v>15</v>
      </c>
      <c r="J116">
        <v>180</v>
      </c>
      <c r="K116">
        <v>0</v>
      </c>
      <c r="L116">
        <v>0</v>
      </c>
      <c r="M116">
        <v>180</v>
      </c>
      <c r="N116">
        <v>4.05</v>
      </c>
      <c r="O116" t="s">
        <v>121</v>
      </c>
      <c r="P116">
        <v>729</v>
      </c>
    </row>
    <row r="117" spans="1:16">
      <c r="A117" s="42" t="str">
        <f>VLOOKUP(E117,'Soort voorraad'!A:B,2,FALSE)</f>
        <v>Grijpvoorraad</v>
      </c>
      <c r="B117" t="s">
        <v>321</v>
      </c>
      <c r="C117" t="s">
        <v>322</v>
      </c>
      <c r="D117" t="s">
        <v>323</v>
      </c>
      <c r="E117" t="s">
        <v>330</v>
      </c>
      <c r="F117" t="s">
        <v>331</v>
      </c>
      <c r="G117" t="s">
        <v>1919</v>
      </c>
      <c r="H117">
        <v>10</v>
      </c>
      <c r="I117">
        <v>10</v>
      </c>
      <c r="J117">
        <v>10</v>
      </c>
      <c r="K117">
        <v>0</v>
      </c>
      <c r="L117">
        <v>0</v>
      </c>
      <c r="M117">
        <v>10</v>
      </c>
      <c r="N117">
        <v>6.12</v>
      </c>
      <c r="O117" t="s">
        <v>332</v>
      </c>
      <c r="P117">
        <v>61.15</v>
      </c>
    </row>
    <row r="118" spans="1:16">
      <c r="A118" s="42" t="str">
        <f>VLOOKUP(E118,'Soort voorraad'!A:B,2,FALSE)</f>
        <v>Grijpvoorraad</v>
      </c>
      <c r="B118" t="s">
        <v>321</v>
      </c>
      <c r="C118" t="s">
        <v>322</v>
      </c>
      <c r="D118" t="s">
        <v>323</v>
      </c>
      <c r="E118" t="s">
        <v>347</v>
      </c>
      <c r="F118" t="s">
        <v>348</v>
      </c>
      <c r="G118" t="s">
        <v>1920</v>
      </c>
      <c r="H118">
        <v>50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4.08</v>
      </c>
      <c r="O118" t="s">
        <v>332</v>
      </c>
      <c r="P118">
        <v>0</v>
      </c>
    </row>
    <row r="119" spans="1:16">
      <c r="A119" s="42" t="str">
        <f>VLOOKUP(E119,'Soort voorraad'!A:B,2,FALSE)</f>
        <v>Grijpvoorraad</v>
      </c>
      <c r="B119" t="s">
        <v>321</v>
      </c>
      <c r="C119" t="s">
        <v>322</v>
      </c>
      <c r="D119" t="s">
        <v>323</v>
      </c>
      <c r="E119" t="s">
        <v>349</v>
      </c>
      <c r="F119" t="s">
        <v>350</v>
      </c>
      <c r="G119" t="s">
        <v>1921</v>
      </c>
      <c r="H119">
        <v>50</v>
      </c>
      <c r="I119">
        <v>1</v>
      </c>
      <c r="J119">
        <v>50</v>
      </c>
      <c r="K119">
        <v>0</v>
      </c>
      <c r="L119">
        <v>0</v>
      </c>
      <c r="M119">
        <v>50</v>
      </c>
      <c r="N119">
        <v>2.08</v>
      </c>
      <c r="O119" t="s">
        <v>332</v>
      </c>
      <c r="P119">
        <v>104</v>
      </c>
    </row>
    <row r="120" spans="1:16">
      <c r="A120" s="42" t="str">
        <f>VLOOKUP(E120,'Soort voorraad'!A:B,2,FALSE)</f>
        <v>Grijpvoorraad</v>
      </c>
      <c r="B120" t="s">
        <v>321</v>
      </c>
      <c r="C120" t="s">
        <v>322</v>
      </c>
      <c r="D120" t="s">
        <v>323</v>
      </c>
      <c r="E120" t="s">
        <v>351</v>
      </c>
      <c r="F120" t="s">
        <v>352</v>
      </c>
      <c r="G120" t="s">
        <v>1922</v>
      </c>
      <c r="H120">
        <v>50</v>
      </c>
      <c r="I120">
        <v>1</v>
      </c>
      <c r="J120">
        <v>15</v>
      </c>
      <c r="K120">
        <v>0</v>
      </c>
      <c r="L120">
        <v>0</v>
      </c>
      <c r="M120">
        <v>15</v>
      </c>
      <c r="N120">
        <v>1.88</v>
      </c>
      <c r="O120" t="s">
        <v>332</v>
      </c>
      <c r="P120">
        <v>28.2</v>
      </c>
    </row>
    <row r="121" spans="1:16">
      <c r="A121" s="42" t="str">
        <f>VLOOKUP(E121,'Soort voorraad'!A:B,2,FALSE)</f>
        <v>Grijpvoorraad</v>
      </c>
      <c r="B121" t="s">
        <v>321</v>
      </c>
      <c r="C121" t="s">
        <v>322</v>
      </c>
      <c r="D121" t="s">
        <v>323</v>
      </c>
      <c r="E121" t="s">
        <v>353</v>
      </c>
      <c r="F121" t="s">
        <v>354</v>
      </c>
      <c r="G121" t="s">
        <v>1923</v>
      </c>
      <c r="H121">
        <v>50</v>
      </c>
      <c r="I121">
        <v>1</v>
      </c>
      <c r="J121">
        <v>11</v>
      </c>
      <c r="K121">
        <v>0</v>
      </c>
      <c r="L121">
        <v>0</v>
      </c>
      <c r="M121">
        <v>11</v>
      </c>
      <c r="N121">
        <v>8.33</v>
      </c>
      <c r="O121" t="s">
        <v>332</v>
      </c>
      <c r="P121">
        <v>91.63</v>
      </c>
    </row>
    <row r="122" spans="1:16">
      <c r="A122" s="42" t="str">
        <f>VLOOKUP(E122,'Soort voorraad'!A:B,2,FALSE)</f>
        <v>Grijpvoorraad</v>
      </c>
      <c r="B122" t="s">
        <v>321</v>
      </c>
      <c r="C122" t="s">
        <v>322</v>
      </c>
      <c r="D122" t="s">
        <v>323</v>
      </c>
      <c r="E122" t="s">
        <v>977</v>
      </c>
      <c r="F122" t="s">
        <v>978</v>
      </c>
      <c r="G122" t="s">
        <v>1924</v>
      </c>
      <c r="H122">
        <v>2</v>
      </c>
      <c r="I122">
        <v>1</v>
      </c>
      <c r="J122">
        <v>6</v>
      </c>
      <c r="K122">
        <v>0</v>
      </c>
      <c r="L122">
        <v>0</v>
      </c>
      <c r="M122">
        <v>6</v>
      </c>
      <c r="N122">
        <v>10.62</v>
      </c>
      <c r="O122" t="s">
        <v>332</v>
      </c>
      <c r="P122">
        <v>63.72</v>
      </c>
    </row>
    <row r="123" spans="1:16">
      <c r="A123" s="42" t="str">
        <f>VLOOKUP(E123,'Soort voorraad'!A:B,2,FALSE)</f>
        <v>Grijpvoorraad</v>
      </c>
      <c r="B123" t="s">
        <v>321</v>
      </c>
      <c r="C123" t="s">
        <v>322</v>
      </c>
      <c r="D123" t="s">
        <v>323</v>
      </c>
      <c r="E123" t="s">
        <v>355</v>
      </c>
      <c r="F123" t="s">
        <v>356</v>
      </c>
      <c r="G123" t="s">
        <v>1925</v>
      </c>
      <c r="H123">
        <v>50</v>
      </c>
      <c r="I123">
        <v>2</v>
      </c>
      <c r="J123">
        <v>100</v>
      </c>
      <c r="K123">
        <v>2</v>
      </c>
      <c r="L123">
        <v>0</v>
      </c>
      <c r="M123">
        <v>102</v>
      </c>
      <c r="N123">
        <v>1.66</v>
      </c>
      <c r="O123" t="s">
        <v>332</v>
      </c>
      <c r="P123">
        <v>166</v>
      </c>
    </row>
    <row r="124" spans="1:16">
      <c r="A124" s="42" t="str">
        <f>VLOOKUP(E124,'Soort voorraad'!A:B,2,FALSE)</f>
        <v>Grijpvoorraad</v>
      </c>
      <c r="B124" t="s">
        <v>321</v>
      </c>
      <c r="C124" t="s">
        <v>322</v>
      </c>
      <c r="D124" t="s">
        <v>323</v>
      </c>
      <c r="E124" t="s">
        <v>979</v>
      </c>
      <c r="F124" t="s">
        <v>980</v>
      </c>
      <c r="G124" t="s">
        <v>1926</v>
      </c>
      <c r="H124">
        <v>2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23.96</v>
      </c>
      <c r="O124" t="s">
        <v>332</v>
      </c>
      <c r="P124">
        <v>0</v>
      </c>
    </row>
    <row r="125" spans="1:16">
      <c r="A125" s="42" t="str">
        <f>VLOOKUP(E125,'Soort voorraad'!A:B,2,FALSE)</f>
        <v>Grijpvoorraad</v>
      </c>
      <c r="B125" t="s">
        <v>321</v>
      </c>
      <c r="C125" t="s">
        <v>322</v>
      </c>
      <c r="D125" t="s">
        <v>323</v>
      </c>
      <c r="E125" t="s">
        <v>981</v>
      </c>
      <c r="F125" t="s">
        <v>982</v>
      </c>
      <c r="G125" t="s">
        <v>1927</v>
      </c>
      <c r="H125">
        <v>2</v>
      </c>
      <c r="I125">
        <v>1</v>
      </c>
      <c r="J125">
        <v>2</v>
      </c>
      <c r="K125">
        <v>0</v>
      </c>
      <c r="L125">
        <v>0</v>
      </c>
      <c r="M125">
        <v>2</v>
      </c>
      <c r="N125">
        <v>24.02</v>
      </c>
      <c r="O125" t="s">
        <v>332</v>
      </c>
      <c r="P125">
        <v>48.04</v>
      </c>
    </row>
    <row r="126" spans="1:16">
      <c r="A126" s="42" t="str">
        <f>VLOOKUP(E126,'Soort voorraad'!A:B,2,FALSE)</f>
        <v>Grijpvoorraad</v>
      </c>
      <c r="B126" t="s">
        <v>321</v>
      </c>
      <c r="C126" t="s">
        <v>322</v>
      </c>
      <c r="D126" t="s">
        <v>323</v>
      </c>
      <c r="E126" t="s">
        <v>333</v>
      </c>
      <c r="F126" t="s">
        <v>334</v>
      </c>
      <c r="G126" t="s">
        <v>1928</v>
      </c>
      <c r="H126">
        <v>10</v>
      </c>
      <c r="I126">
        <v>10</v>
      </c>
      <c r="J126">
        <v>10</v>
      </c>
      <c r="K126">
        <v>0</v>
      </c>
      <c r="L126">
        <v>0</v>
      </c>
      <c r="M126">
        <v>10</v>
      </c>
      <c r="N126">
        <v>6.1</v>
      </c>
      <c r="O126" t="s">
        <v>332</v>
      </c>
      <c r="P126">
        <v>61</v>
      </c>
    </row>
    <row r="127" spans="1:16">
      <c r="A127" s="42" t="str">
        <f>VLOOKUP(E127,'Soort voorraad'!A:B,2,FALSE)</f>
        <v>Grijpvoorraad</v>
      </c>
      <c r="B127" t="s">
        <v>321</v>
      </c>
      <c r="C127" t="s">
        <v>322</v>
      </c>
      <c r="D127" t="s">
        <v>323</v>
      </c>
      <c r="E127" t="s">
        <v>335</v>
      </c>
      <c r="F127" t="s">
        <v>336</v>
      </c>
      <c r="G127" t="s">
        <v>1929</v>
      </c>
      <c r="H127">
        <v>15</v>
      </c>
      <c r="I127">
        <v>10</v>
      </c>
      <c r="J127">
        <v>25</v>
      </c>
      <c r="K127">
        <v>0</v>
      </c>
      <c r="L127">
        <v>0</v>
      </c>
      <c r="M127">
        <v>25</v>
      </c>
      <c r="N127">
        <v>6.31</v>
      </c>
      <c r="O127" t="s">
        <v>332</v>
      </c>
      <c r="P127">
        <v>157.79</v>
      </c>
    </row>
    <row r="128" spans="1:16">
      <c r="A128" s="42" t="str">
        <f>VLOOKUP(E128,'Soort voorraad'!A:B,2,FALSE)</f>
        <v>Grijpvoorraad</v>
      </c>
      <c r="B128" t="s">
        <v>321</v>
      </c>
      <c r="C128" t="s">
        <v>322</v>
      </c>
      <c r="D128" t="s">
        <v>323</v>
      </c>
      <c r="E128" t="s">
        <v>337</v>
      </c>
      <c r="F128" t="s">
        <v>338</v>
      </c>
      <c r="G128" t="s">
        <v>1930</v>
      </c>
      <c r="H128">
        <v>10</v>
      </c>
      <c r="I128">
        <v>10</v>
      </c>
      <c r="J128">
        <v>10</v>
      </c>
      <c r="K128">
        <v>0</v>
      </c>
      <c r="L128">
        <v>0</v>
      </c>
      <c r="M128">
        <v>10</v>
      </c>
      <c r="N128">
        <v>16.18</v>
      </c>
      <c r="O128" t="s">
        <v>332</v>
      </c>
      <c r="P128">
        <v>161.80000000000001</v>
      </c>
    </row>
    <row r="129" spans="1:16">
      <c r="A129" s="42" t="str">
        <f>VLOOKUP(E129,'Soort voorraad'!A:B,2,FALSE)</f>
        <v>Grijpvoorraad</v>
      </c>
      <c r="B129" t="s">
        <v>321</v>
      </c>
      <c r="C129" t="s">
        <v>322</v>
      </c>
      <c r="D129" t="s">
        <v>323</v>
      </c>
      <c r="E129" t="s">
        <v>339</v>
      </c>
      <c r="F129" t="s">
        <v>340</v>
      </c>
      <c r="G129" t="s">
        <v>1931</v>
      </c>
      <c r="H129">
        <v>15</v>
      </c>
      <c r="I129">
        <v>10</v>
      </c>
      <c r="J129">
        <v>60</v>
      </c>
      <c r="K129">
        <v>0</v>
      </c>
      <c r="L129">
        <v>0</v>
      </c>
      <c r="M129">
        <v>60</v>
      </c>
      <c r="N129">
        <v>7.03</v>
      </c>
      <c r="O129" t="s">
        <v>332</v>
      </c>
      <c r="P129">
        <v>421.8</v>
      </c>
    </row>
    <row r="130" spans="1:16">
      <c r="A130" s="42" t="str">
        <f>VLOOKUP(E130,'Soort voorraad'!A:B,2,FALSE)</f>
        <v>Grijpvoorraad</v>
      </c>
      <c r="B130" t="s">
        <v>321</v>
      </c>
      <c r="C130" t="s">
        <v>322</v>
      </c>
      <c r="D130" t="s">
        <v>323</v>
      </c>
      <c r="E130" t="s">
        <v>341</v>
      </c>
      <c r="F130" t="s">
        <v>342</v>
      </c>
      <c r="G130" t="s">
        <v>1932</v>
      </c>
      <c r="H130">
        <v>15</v>
      </c>
      <c r="I130">
        <v>10</v>
      </c>
      <c r="J130">
        <v>0</v>
      </c>
      <c r="K130">
        <v>0</v>
      </c>
      <c r="L130">
        <v>0</v>
      </c>
      <c r="M130">
        <v>0</v>
      </c>
      <c r="N130">
        <v>7.82</v>
      </c>
      <c r="O130" t="s">
        <v>332</v>
      </c>
      <c r="P130">
        <v>0</v>
      </c>
    </row>
    <row r="131" spans="1:16">
      <c r="A131" s="42" t="str">
        <f>VLOOKUP(E131,'Soort voorraad'!A:B,2,FALSE)</f>
        <v>Grijpvoorraad</v>
      </c>
      <c r="B131" t="s">
        <v>321</v>
      </c>
      <c r="C131" t="s">
        <v>322</v>
      </c>
      <c r="D131" t="s">
        <v>323</v>
      </c>
      <c r="E131" t="s">
        <v>343</v>
      </c>
      <c r="F131" t="s">
        <v>344</v>
      </c>
      <c r="G131" t="s">
        <v>1933</v>
      </c>
      <c r="H131">
        <v>15</v>
      </c>
      <c r="I131">
        <v>10</v>
      </c>
      <c r="J131">
        <v>15</v>
      </c>
      <c r="K131">
        <v>0</v>
      </c>
      <c r="L131">
        <v>0</v>
      </c>
      <c r="M131">
        <v>15</v>
      </c>
      <c r="N131">
        <v>7.77</v>
      </c>
      <c r="O131" t="s">
        <v>332</v>
      </c>
      <c r="P131">
        <v>116.55</v>
      </c>
    </row>
    <row r="132" spans="1:16">
      <c r="A132" s="42" t="str">
        <f>VLOOKUP(E132,'Soort voorraad'!A:B,2,FALSE)</f>
        <v>Grijpvoorraad</v>
      </c>
      <c r="B132" t="s">
        <v>321</v>
      </c>
      <c r="C132" t="s">
        <v>322</v>
      </c>
      <c r="D132" t="s">
        <v>323</v>
      </c>
      <c r="E132" t="s">
        <v>345</v>
      </c>
      <c r="F132" t="s">
        <v>346</v>
      </c>
      <c r="G132" t="s">
        <v>1934</v>
      </c>
      <c r="H132">
        <v>15</v>
      </c>
      <c r="I132">
        <v>10</v>
      </c>
      <c r="J132">
        <v>100</v>
      </c>
      <c r="K132">
        <v>0</v>
      </c>
      <c r="L132">
        <v>0</v>
      </c>
      <c r="M132">
        <v>100</v>
      </c>
      <c r="N132">
        <v>9.1199999999999992</v>
      </c>
      <c r="O132" t="s">
        <v>332</v>
      </c>
      <c r="P132">
        <v>912</v>
      </c>
    </row>
    <row r="133" spans="1:16">
      <c r="A133" s="42" t="str">
        <f>VLOOKUP(E133,'Soort voorraad'!A:B,2,FALSE)</f>
        <v>Grijpvoorraad</v>
      </c>
      <c r="B133" t="s">
        <v>321</v>
      </c>
      <c r="C133" t="s">
        <v>322</v>
      </c>
      <c r="D133" t="s">
        <v>323</v>
      </c>
      <c r="E133" t="s">
        <v>357</v>
      </c>
      <c r="F133" t="s">
        <v>358</v>
      </c>
      <c r="G133" t="s">
        <v>1935</v>
      </c>
      <c r="H133">
        <v>10</v>
      </c>
      <c r="I133">
        <v>10</v>
      </c>
      <c r="J133">
        <v>20</v>
      </c>
      <c r="K133">
        <v>0</v>
      </c>
      <c r="L133">
        <v>0</v>
      </c>
      <c r="M133">
        <v>20</v>
      </c>
      <c r="N133">
        <v>8.9499999999999993</v>
      </c>
      <c r="O133" t="s">
        <v>332</v>
      </c>
      <c r="P133">
        <v>178.93</v>
      </c>
    </row>
    <row r="134" spans="1:16">
      <c r="A134" s="42" t="str">
        <f>VLOOKUP(E134,'Soort voorraad'!A:B,2,FALSE)</f>
        <v>Projectvoorraad</v>
      </c>
      <c r="B134" t="s">
        <v>321</v>
      </c>
      <c r="C134" t="s">
        <v>322</v>
      </c>
      <c r="D134" t="s">
        <v>323</v>
      </c>
      <c r="E134" t="s">
        <v>254</v>
      </c>
      <c r="F134" t="s">
        <v>1002</v>
      </c>
      <c r="G134" t="s">
        <v>1936</v>
      </c>
      <c r="H134">
        <v>20</v>
      </c>
      <c r="I134">
        <v>10</v>
      </c>
      <c r="J134">
        <v>152</v>
      </c>
      <c r="K134">
        <v>0</v>
      </c>
      <c r="L134">
        <v>0</v>
      </c>
      <c r="M134">
        <v>152</v>
      </c>
      <c r="N134">
        <v>16.88</v>
      </c>
      <c r="O134" t="s">
        <v>121</v>
      </c>
      <c r="P134">
        <v>2566.02</v>
      </c>
    </row>
    <row r="135" spans="1:16">
      <c r="A135" s="42" t="str">
        <f>VLOOKUP(E135,'Soort voorraad'!A:B,2,FALSE)</f>
        <v>Projectvoorraad</v>
      </c>
      <c r="B135" t="s">
        <v>321</v>
      </c>
      <c r="C135" t="s">
        <v>322</v>
      </c>
      <c r="D135" t="s">
        <v>323</v>
      </c>
      <c r="E135" t="s">
        <v>267</v>
      </c>
      <c r="F135" t="s">
        <v>999</v>
      </c>
      <c r="G135" t="s">
        <v>1937</v>
      </c>
      <c r="H135">
        <v>40</v>
      </c>
      <c r="I135">
        <v>20</v>
      </c>
      <c r="J135">
        <v>39</v>
      </c>
      <c r="K135">
        <v>40</v>
      </c>
      <c r="L135">
        <v>0</v>
      </c>
      <c r="M135">
        <v>79</v>
      </c>
      <c r="N135">
        <v>6.89</v>
      </c>
      <c r="O135" t="s">
        <v>121</v>
      </c>
      <c r="P135">
        <v>268.8</v>
      </c>
    </row>
    <row r="136" spans="1:16">
      <c r="A136" s="42" t="str">
        <f>VLOOKUP(E136,'Soort voorraad'!A:B,2,FALSE)</f>
        <v>Grijpvoorraad</v>
      </c>
      <c r="B136" t="s">
        <v>321</v>
      </c>
      <c r="C136" t="s">
        <v>322</v>
      </c>
      <c r="D136" t="s">
        <v>323</v>
      </c>
      <c r="E136" t="s">
        <v>983</v>
      </c>
      <c r="F136" t="s">
        <v>984</v>
      </c>
      <c r="G136" t="s">
        <v>1938</v>
      </c>
      <c r="H136">
        <v>30</v>
      </c>
      <c r="I136">
        <v>10</v>
      </c>
      <c r="J136">
        <v>40</v>
      </c>
      <c r="K136">
        <v>0</v>
      </c>
      <c r="L136">
        <v>0</v>
      </c>
      <c r="M136">
        <v>40</v>
      </c>
      <c r="N136">
        <v>7.98</v>
      </c>
      <c r="O136" t="s">
        <v>121</v>
      </c>
      <c r="P136">
        <v>319.27999999999997</v>
      </c>
    </row>
    <row r="137" spans="1:16">
      <c r="A137" s="42" t="str">
        <f>VLOOKUP(E137,'Soort voorraad'!A:B,2,FALSE)</f>
        <v>Grijpvoorraad</v>
      </c>
      <c r="B137" t="s">
        <v>321</v>
      </c>
      <c r="C137" t="s">
        <v>322</v>
      </c>
      <c r="D137" t="s">
        <v>323</v>
      </c>
      <c r="E137" t="s">
        <v>367</v>
      </c>
      <c r="F137" t="s">
        <v>368</v>
      </c>
      <c r="G137" t="s">
        <v>1939</v>
      </c>
      <c r="H137">
        <v>30</v>
      </c>
      <c r="I137">
        <v>1</v>
      </c>
      <c r="J137">
        <v>20</v>
      </c>
      <c r="K137">
        <v>0</v>
      </c>
      <c r="L137">
        <v>0</v>
      </c>
      <c r="M137">
        <v>20</v>
      </c>
      <c r="N137">
        <v>0.92</v>
      </c>
      <c r="O137" t="s">
        <v>121</v>
      </c>
      <c r="P137">
        <v>18.399999999999999</v>
      </c>
    </row>
    <row r="138" spans="1:16">
      <c r="A138" s="42" t="str">
        <f>VLOOKUP(E138,'Soort voorraad'!A:B,2,FALSE)</f>
        <v>Grijpvoorraad</v>
      </c>
      <c r="B138" t="s">
        <v>321</v>
      </c>
      <c r="C138" t="s">
        <v>322</v>
      </c>
      <c r="D138" t="s">
        <v>323</v>
      </c>
      <c r="E138" t="s">
        <v>369</v>
      </c>
      <c r="F138" t="s">
        <v>370</v>
      </c>
      <c r="G138" t="s">
        <v>1940</v>
      </c>
      <c r="H138">
        <v>30</v>
      </c>
      <c r="I138">
        <v>1</v>
      </c>
      <c r="J138">
        <v>30</v>
      </c>
      <c r="K138">
        <v>0</v>
      </c>
      <c r="L138">
        <v>0</v>
      </c>
      <c r="M138">
        <v>30</v>
      </c>
      <c r="N138">
        <v>1.01</v>
      </c>
      <c r="O138" t="s">
        <v>121</v>
      </c>
      <c r="P138">
        <v>30.18</v>
      </c>
    </row>
    <row r="139" spans="1:16">
      <c r="A139" s="42" t="str">
        <f>VLOOKUP(E139,'Soort voorraad'!A:B,2,FALSE)</f>
        <v>Grijpvoorraad</v>
      </c>
      <c r="B139" t="s">
        <v>321</v>
      </c>
      <c r="C139" t="s">
        <v>322</v>
      </c>
      <c r="D139" t="s">
        <v>323</v>
      </c>
      <c r="E139" t="s">
        <v>371</v>
      </c>
      <c r="F139" t="s">
        <v>372</v>
      </c>
      <c r="G139" t="s">
        <v>1941</v>
      </c>
      <c r="H139">
        <v>30</v>
      </c>
      <c r="I139">
        <v>1</v>
      </c>
      <c r="J139">
        <v>30</v>
      </c>
      <c r="K139">
        <v>0</v>
      </c>
      <c r="L139">
        <v>0</v>
      </c>
      <c r="M139">
        <v>30</v>
      </c>
      <c r="N139">
        <v>0.97</v>
      </c>
      <c r="O139" t="s">
        <v>121</v>
      </c>
      <c r="P139">
        <v>28.98</v>
      </c>
    </row>
    <row r="140" spans="1:16">
      <c r="A140" s="42" t="str">
        <f>VLOOKUP(E140,'Soort voorraad'!A:B,2,FALSE)</f>
        <v>Grijpvoorraad</v>
      </c>
      <c r="B140" t="s">
        <v>321</v>
      </c>
      <c r="C140" t="s">
        <v>322</v>
      </c>
      <c r="D140" t="s">
        <v>323</v>
      </c>
      <c r="E140" t="s">
        <v>373</v>
      </c>
      <c r="F140" t="s">
        <v>374</v>
      </c>
      <c r="G140" t="s">
        <v>1942</v>
      </c>
      <c r="H140">
        <v>30</v>
      </c>
      <c r="I140">
        <v>1</v>
      </c>
      <c r="J140">
        <v>30</v>
      </c>
      <c r="K140">
        <v>0</v>
      </c>
      <c r="L140">
        <v>0</v>
      </c>
      <c r="M140">
        <v>30</v>
      </c>
      <c r="N140">
        <v>1.33</v>
      </c>
      <c r="O140" t="s">
        <v>121</v>
      </c>
      <c r="P140">
        <v>40.020000000000003</v>
      </c>
    </row>
    <row r="141" spans="1:16">
      <c r="A141" s="42" t="str">
        <f>VLOOKUP(E141,'Soort voorraad'!A:B,2,FALSE)</f>
        <v>Grijpvoorraad</v>
      </c>
      <c r="B141" t="s">
        <v>321</v>
      </c>
      <c r="C141" t="s">
        <v>322</v>
      </c>
      <c r="D141" t="s">
        <v>323</v>
      </c>
      <c r="E141" t="s">
        <v>1829</v>
      </c>
      <c r="F141" t="s">
        <v>1830</v>
      </c>
      <c r="G141" t="s">
        <v>1943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25.19</v>
      </c>
      <c r="O141" t="s">
        <v>328</v>
      </c>
      <c r="P141">
        <v>0</v>
      </c>
    </row>
    <row r="142" spans="1:16">
      <c r="A142" s="42" t="str">
        <f>VLOOKUP(E142,'Soort voorraad'!A:B,2,FALSE)</f>
        <v>Grijpvoorraad</v>
      </c>
      <c r="B142" t="s">
        <v>321</v>
      </c>
      <c r="C142" t="s">
        <v>322</v>
      </c>
      <c r="D142" t="s">
        <v>323</v>
      </c>
      <c r="E142" t="s">
        <v>375</v>
      </c>
      <c r="F142" t="s">
        <v>376</v>
      </c>
      <c r="G142" t="s">
        <v>1944</v>
      </c>
      <c r="H142">
        <v>30</v>
      </c>
      <c r="I142">
        <v>1</v>
      </c>
      <c r="J142">
        <v>5</v>
      </c>
      <c r="K142">
        <v>0</v>
      </c>
      <c r="L142">
        <v>0</v>
      </c>
      <c r="M142">
        <v>5</v>
      </c>
      <c r="N142">
        <v>0.92</v>
      </c>
      <c r="O142" t="s">
        <v>121</v>
      </c>
      <c r="P142">
        <v>4.5999999999999996</v>
      </c>
    </row>
    <row r="143" spans="1:16">
      <c r="A143" s="42" t="str">
        <f>VLOOKUP(E143,'Soort voorraad'!A:B,2,FALSE)</f>
        <v>Grijpvoorraad</v>
      </c>
      <c r="B143" t="s">
        <v>321</v>
      </c>
      <c r="C143" t="s">
        <v>322</v>
      </c>
      <c r="D143" t="s">
        <v>323</v>
      </c>
      <c r="E143" t="s">
        <v>377</v>
      </c>
      <c r="F143" t="s">
        <v>378</v>
      </c>
      <c r="G143" t="s">
        <v>1945</v>
      </c>
      <c r="H143">
        <v>30</v>
      </c>
      <c r="I143">
        <v>1</v>
      </c>
      <c r="J143">
        <v>20</v>
      </c>
      <c r="K143">
        <v>0</v>
      </c>
      <c r="L143">
        <v>0</v>
      </c>
      <c r="M143">
        <v>20</v>
      </c>
      <c r="N143">
        <v>0.99</v>
      </c>
      <c r="O143" t="s">
        <v>121</v>
      </c>
      <c r="P143">
        <v>19.809999999999999</v>
      </c>
    </row>
    <row r="144" spans="1:16">
      <c r="A144" s="42" t="str">
        <f>VLOOKUP(E144,'Soort voorraad'!A:B,2,FALSE)</f>
        <v>Grijpvoorraad</v>
      </c>
      <c r="B144" t="s">
        <v>321</v>
      </c>
      <c r="C144" t="s">
        <v>322</v>
      </c>
      <c r="D144" t="s">
        <v>323</v>
      </c>
      <c r="E144" t="s">
        <v>379</v>
      </c>
      <c r="F144" t="s">
        <v>380</v>
      </c>
      <c r="G144" t="s">
        <v>1946</v>
      </c>
      <c r="H144">
        <v>1</v>
      </c>
      <c r="I144">
        <v>1</v>
      </c>
      <c r="J144">
        <v>1</v>
      </c>
      <c r="K144">
        <v>0</v>
      </c>
      <c r="L144">
        <v>0</v>
      </c>
      <c r="M144">
        <v>1</v>
      </c>
      <c r="N144">
        <v>23.72</v>
      </c>
      <c r="O144" t="s">
        <v>332</v>
      </c>
      <c r="P144">
        <v>23.72</v>
      </c>
    </row>
    <row r="145" spans="1:16">
      <c r="A145" s="42" t="str">
        <f>VLOOKUP(E145,'Soort voorraad'!A:B,2,FALSE)</f>
        <v>Grijpvoorraad</v>
      </c>
      <c r="B145" t="s">
        <v>321</v>
      </c>
      <c r="C145" t="s">
        <v>322</v>
      </c>
      <c r="D145" t="s">
        <v>323</v>
      </c>
      <c r="E145" t="s">
        <v>961</v>
      </c>
      <c r="F145" t="s">
        <v>962</v>
      </c>
      <c r="G145" t="s">
        <v>1947</v>
      </c>
      <c r="H145">
        <v>1</v>
      </c>
      <c r="I145">
        <v>1</v>
      </c>
      <c r="J145">
        <v>1</v>
      </c>
      <c r="K145">
        <v>1</v>
      </c>
      <c r="L145">
        <v>0</v>
      </c>
      <c r="M145">
        <v>2</v>
      </c>
      <c r="N145">
        <v>15.25</v>
      </c>
      <c r="O145" t="s">
        <v>332</v>
      </c>
      <c r="P145">
        <v>15.25</v>
      </c>
    </row>
    <row r="146" spans="1:16">
      <c r="A146" s="42" t="str">
        <f>VLOOKUP(E146,'Soort voorraad'!A:B,2,FALSE)</f>
        <v>Grijpvoorraad</v>
      </c>
      <c r="B146" t="s">
        <v>321</v>
      </c>
      <c r="C146" t="s">
        <v>322</v>
      </c>
      <c r="D146" t="s">
        <v>323</v>
      </c>
      <c r="E146" t="s">
        <v>382</v>
      </c>
      <c r="F146" t="s">
        <v>383</v>
      </c>
      <c r="G146" t="s">
        <v>1948</v>
      </c>
      <c r="H146">
        <v>30</v>
      </c>
      <c r="I146">
        <v>1</v>
      </c>
      <c r="J146">
        <v>20</v>
      </c>
      <c r="K146">
        <v>0</v>
      </c>
      <c r="L146">
        <v>0</v>
      </c>
      <c r="M146">
        <v>20</v>
      </c>
      <c r="N146">
        <v>0.67</v>
      </c>
      <c r="O146" t="s">
        <v>121</v>
      </c>
      <c r="P146">
        <v>13.4</v>
      </c>
    </row>
    <row r="147" spans="1:16">
      <c r="A147" s="42" t="str">
        <f>VLOOKUP(E147,'Soort voorraad'!A:B,2,FALSE)</f>
        <v>Grijpvoorraad</v>
      </c>
      <c r="B147" t="s">
        <v>321</v>
      </c>
      <c r="C147" t="s">
        <v>322</v>
      </c>
      <c r="D147" t="s">
        <v>323</v>
      </c>
      <c r="E147" t="s">
        <v>384</v>
      </c>
      <c r="F147" t="s">
        <v>385</v>
      </c>
      <c r="G147" t="s">
        <v>1949</v>
      </c>
      <c r="H147">
        <v>30</v>
      </c>
      <c r="I147">
        <v>1</v>
      </c>
      <c r="J147">
        <v>30</v>
      </c>
      <c r="K147">
        <v>0</v>
      </c>
      <c r="L147">
        <v>0</v>
      </c>
      <c r="M147">
        <v>30</v>
      </c>
      <c r="N147">
        <v>1.1000000000000001</v>
      </c>
      <c r="O147" t="s">
        <v>121</v>
      </c>
      <c r="P147">
        <v>33</v>
      </c>
    </row>
    <row r="148" spans="1:16">
      <c r="A148" s="42" t="str">
        <f>VLOOKUP(E148,'Soort voorraad'!A:B,2,FALSE)</f>
        <v>Grijpvoorraad</v>
      </c>
      <c r="B148" t="s">
        <v>321</v>
      </c>
      <c r="C148" t="s">
        <v>322</v>
      </c>
      <c r="D148" t="s">
        <v>323</v>
      </c>
      <c r="E148" t="s">
        <v>386</v>
      </c>
      <c r="F148" t="s">
        <v>387</v>
      </c>
      <c r="G148" t="s">
        <v>1950</v>
      </c>
      <c r="H148">
        <v>30</v>
      </c>
      <c r="I148">
        <v>1</v>
      </c>
      <c r="J148">
        <v>10</v>
      </c>
      <c r="K148">
        <v>0</v>
      </c>
      <c r="L148">
        <v>0</v>
      </c>
      <c r="M148">
        <v>10</v>
      </c>
      <c r="N148">
        <v>3.89</v>
      </c>
      <c r="O148" t="s">
        <v>121</v>
      </c>
      <c r="P148">
        <v>38.9</v>
      </c>
    </row>
    <row r="149" spans="1:16">
      <c r="A149" s="42" t="str">
        <f>VLOOKUP(E149,'Soort voorraad'!A:B,2,FALSE)</f>
        <v>Grijpvoorraad</v>
      </c>
      <c r="B149" t="s">
        <v>321</v>
      </c>
      <c r="C149" t="s">
        <v>322</v>
      </c>
      <c r="D149" t="s">
        <v>323</v>
      </c>
      <c r="E149" t="s">
        <v>388</v>
      </c>
      <c r="F149" t="s">
        <v>389</v>
      </c>
      <c r="G149" t="s">
        <v>1951</v>
      </c>
      <c r="H149">
        <v>30</v>
      </c>
      <c r="I149">
        <v>1</v>
      </c>
      <c r="J149">
        <v>50</v>
      </c>
      <c r="K149">
        <v>0</v>
      </c>
      <c r="L149">
        <v>0</v>
      </c>
      <c r="M149">
        <v>50</v>
      </c>
      <c r="N149">
        <v>0.55000000000000004</v>
      </c>
      <c r="O149" t="s">
        <v>121</v>
      </c>
      <c r="P149">
        <v>27.6</v>
      </c>
    </row>
    <row r="150" spans="1:16">
      <c r="A150" s="42" t="str">
        <f>VLOOKUP(E150,'Soort voorraad'!A:B,2,FALSE)</f>
        <v>Grijpvoorraad</v>
      </c>
      <c r="B150" t="s">
        <v>321</v>
      </c>
      <c r="C150" t="s">
        <v>322</v>
      </c>
      <c r="D150" t="s">
        <v>323</v>
      </c>
      <c r="E150" t="s">
        <v>390</v>
      </c>
      <c r="F150" t="s">
        <v>391</v>
      </c>
      <c r="G150" t="s">
        <v>1952</v>
      </c>
      <c r="H150">
        <v>30</v>
      </c>
      <c r="I150">
        <v>1</v>
      </c>
      <c r="J150">
        <v>30</v>
      </c>
      <c r="K150">
        <v>0</v>
      </c>
      <c r="L150">
        <v>0</v>
      </c>
      <c r="M150">
        <v>30</v>
      </c>
      <c r="N150">
        <v>0.99</v>
      </c>
      <c r="O150" t="s">
        <v>121</v>
      </c>
      <c r="P150">
        <v>29.67</v>
      </c>
    </row>
    <row r="151" spans="1:16">
      <c r="A151" s="42" t="str">
        <f>VLOOKUP(E151,'Soort voorraad'!A:B,2,FALSE)</f>
        <v>Grijpvoorraad</v>
      </c>
      <c r="B151" t="s">
        <v>321</v>
      </c>
      <c r="C151" t="s">
        <v>322</v>
      </c>
      <c r="D151" t="s">
        <v>323</v>
      </c>
      <c r="E151" t="s">
        <v>392</v>
      </c>
      <c r="F151" t="s">
        <v>393</v>
      </c>
      <c r="G151" t="s">
        <v>1953</v>
      </c>
      <c r="H151">
        <v>20</v>
      </c>
      <c r="I151">
        <v>1</v>
      </c>
      <c r="J151">
        <v>10</v>
      </c>
      <c r="K151">
        <v>0</v>
      </c>
      <c r="L151">
        <v>0</v>
      </c>
      <c r="M151">
        <v>10</v>
      </c>
      <c r="N151">
        <v>0.69</v>
      </c>
      <c r="O151" t="s">
        <v>121</v>
      </c>
      <c r="P151">
        <v>6.9</v>
      </c>
    </row>
    <row r="152" spans="1:16">
      <c r="A152" s="42" t="str">
        <f>VLOOKUP(E152,'Soort voorraad'!A:B,2,FALSE)</f>
        <v>Grijpvoorraad</v>
      </c>
      <c r="B152" t="s">
        <v>321</v>
      </c>
      <c r="C152" t="s">
        <v>322</v>
      </c>
      <c r="D152" t="s">
        <v>323</v>
      </c>
      <c r="E152" t="s">
        <v>394</v>
      </c>
      <c r="F152" t="s">
        <v>395</v>
      </c>
      <c r="G152" t="s">
        <v>1954</v>
      </c>
      <c r="H152">
        <v>10</v>
      </c>
      <c r="I152">
        <v>1</v>
      </c>
      <c r="J152">
        <v>10</v>
      </c>
      <c r="K152">
        <v>0</v>
      </c>
      <c r="L152">
        <v>0</v>
      </c>
      <c r="M152">
        <v>10</v>
      </c>
      <c r="N152">
        <v>1.68</v>
      </c>
      <c r="O152" t="s">
        <v>121</v>
      </c>
      <c r="P152">
        <v>16.760000000000002</v>
      </c>
    </row>
    <row r="153" spans="1:16">
      <c r="A153" s="42" t="str">
        <f>VLOOKUP(E153,'Soort voorraad'!A:B,2,FALSE)</f>
        <v>Grijpvoorraad</v>
      </c>
      <c r="B153" t="s">
        <v>321</v>
      </c>
      <c r="C153" t="s">
        <v>322</v>
      </c>
      <c r="D153" t="s">
        <v>323</v>
      </c>
      <c r="E153" t="s">
        <v>396</v>
      </c>
      <c r="F153" t="s">
        <v>397</v>
      </c>
      <c r="G153" t="s">
        <v>1955</v>
      </c>
      <c r="H153">
        <v>1</v>
      </c>
      <c r="I153">
        <v>1</v>
      </c>
      <c r="J153">
        <v>1</v>
      </c>
      <c r="K153">
        <v>0</v>
      </c>
      <c r="L153">
        <v>0</v>
      </c>
      <c r="M153">
        <v>1</v>
      </c>
      <c r="N153">
        <v>16.78</v>
      </c>
      <c r="O153" t="s">
        <v>332</v>
      </c>
      <c r="P153">
        <v>16.78</v>
      </c>
    </row>
    <row r="154" spans="1:16">
      <c r="A154" s="42" t="str">
        <f>VLOOKUP(E154,'Soort voorraad'!A:B,2,FALSE)</f>
        <v>Grijpvoorraad</v>
      </c>
      <c r="B154" t="s">
        <v>321</v>
      </c>
      <c r="C154" t="s">
        <v>322</v>
      </c>
      <c r="D154" t="s">
        <v>323</v>
      </c>
      <c r="E154" t="s">
        <v>398</v>
      </c>
      <c r="F154" t="s">
        <v>399</v>
      </c>
      <c r="G154" t="s">
        <v>1956</v>
      </c>
      <c r="H154">
        <v>1</v>
      </c>
      <c r="I154">
        <v>1</v>
      </c>
      <c r="J154">
        <v>1</v>
      </c>
      <c r="K154">
        <v>0</v>
      </c>
      <c r="L154">
        <v>0</v>
      </c>
      <c r="M154">
        <v>1</v>
      </c>
      <c r="N154">
        <v>10.92</v>
      </c>
      <c r="O154" t="s">
        <v>332</v>
      </c>
      <c r="P154">
        <v>10.92</v>
      </c>
    </row>
    <row r="155" spans="1:16">
      <c r="A155" s="42" t="str">
        <f>VLOOKUP(E155,'Soort voorraad'!A:B,2,FALSE)</f>
        <v>Grijpvoorraad</v>
      </c>
      <c r="B155" t="s">
        <v>321</v>
      </c>
      <c r="C155" t="s">
        <v>322</v>
      </c>
      <c r="D155" t="s">
        <v>323</v>
      </c>
      <c r="E155" t="s">
        <v>400</v>
      </c>
      <c r="F155" t="s">
        <v>401</v>
      </c>
      <c r="G155" t="s">
        <v>1957</v>
      </c>
      <c r="H155">
        <v>30</v>
      </c>
      <c r="I155">
        <v>1</v>
      </c>
      <c r="J155">
        <v>30</v>
      </c>
      <c r="K155">
        <v>0</v>
      </c>
      <c r="L155">
        <v>0</v>
      </c>
      <c r="M155">
        <v>30</v>
      </c>
      <c r="N155">
        <v>0.55000000000000004</v>
      </c>
      <c r="O155" t="s">
        <v>121</v>
      </c>
      <c r="P155">
        <v>16.5</v>
      </c>
    </row>
    <row r="156" spans="1:16">
      <c r="A156" s="42" t="str">
        <f>VLOOKUP(E156,'Soort voorraad'!A:B,2,FALSE)</f>
        <v>Grijpvoorraad</v>
      </c>
      <c r="B156" t="s">
        <v>321</v>
      </c>
      <c r="C156" t="s">
        <v>322</v>
      </c>
      <c r="D156" t="s">
        <v>323</v>
      </c>
      <c r="E156" t="s">
        <v>402</v>
      </c>
      <c r="F156" t="s">
        <v>403</v>
      </c>
      <c r="G156" t="s">
        <v>1958</v>
      </c>
      <c r="H156">
        <v>30</v>
      </c>
      <c r="I156">
        <v>1</v>
      </c>
      <c r="J156">
        <v>30</v>
      </c>
      <c r="K156">
        <v>0</v>
      </c>
      <c r="L156">
        <v>0</v>
      </c>
      <c r="M156">
        <v>30</v>
      </c>
      <c r="N156">
        <v>0.51</v>
      </c>
      <c r="O156" t="s">
        <v>121</v>
      </c>
      <c r="P156">
        <v>15.3</v>
      </c>
    </row>
    <row r="157" spans="1:16">
      <c r="A157" s="42" t="str">
        <f>VLOOKUP(E157,'Soort voorraad'!A:B,2,FALSE)</f>
        <v>Grijpvoorraad</v>
      </c>
      <c r="B157" t="s">
        <v>321</v>
      </c>
      <c r="C157" t="s">
        <v>322</v>
      </c>
      <c r="D157" t="s">
        <v>323</v>
      </c>
      <c r="E157" t="s">
        <v>404</v>
      </c>
      <c r="F157" t="s">
        <v>405</v>
      </c>
      <c r="G157" t="s">
        <v>1959</v>
      </c>
      <c r="H157">
        <v>20</v>
      </c>
      <c r="I157">
        <v>1</v>
      </c>
      <c r="J157">
        <v>20</v>
      </c>
      <c r="K157">
        <v>0</v>
      </c>
      <c r="L157">
        <v>0</v>
      </c>
      <c r="M157">
        <v>20</v>
      </c>
      <c r="N157">
        <v>0.33</v>
      </c>
      <c r="O157" t="s">
        <v>121</v>
      </c>
      <c r="P157">
        <v>6.51</v>
      </c>
    </row>
    <row r="158" spans="1:16">
      <c r="A158" s="42" t="str">
        <f>VLOOKUP(E158,'Soort voorraad'!A:B,2,FALSE)</f>
        <v>Grijpvoorraad</v>
      </c>
      <c r="B158" t="s">
        <v>321</v>
      </c>
      <c r="C158" t="s">
        <v>322</v>
      </c>
      <c r="D158" t="s">
        <v>323</v>
      </c>
      <c r="E158" t="s">
        <v>406</v>
      </c>
      <c r="F158" t="s">
        <v>407</v>
      </c>
      <c r="G158" t="s">
        <v>1960</v>
      </c>
      <c r="H158">
        <v>30</v>
      </c>
      <c r="I158">
        <v>1</v>
      </c>
      <c r="J158">
        <v>10</v>
      </c>
      <c r="K158">
        <v>0</v>
      </c>
      <c r="L158">
        <v>0</v>
      </c>
      <c r="M158">
        <v>10</v>
      </c>
      <c r="N158">
        <v>0.87</v>
      </c>
      <c r="O158" t="s">
        <v>121</v>
      </c>
      <c r="P158">
        <v>8.68</v>
      </c>
    </row>
    <row r="159" spans="1:16">
      <c r="A159" s="42" t="str">
        <f>VLOOKUP(E159,'Soort voorraad'!A:B,2,FALSE)</f>
        <v>Grijpvoorraad</v>
      </c>
      <c r="B159" t="s">
        <v>321</v>
      </c>
      <c r="C159" t="s">
        <v>322</v>
      </c>
      <c r="D159" t="s">
        <v>323</v>
      </c>
      <c r="E159" t="s">
        <v>408</v>
      </c>
      <c r="F159" t="s">
        <v>409</v>
      </c>
      <c r="G159" t="s">
        <v>1961</v>
      </c>
      <c r="H159">
        <v>30</v>
      </c>
      <c r="I159">
        <v>1</v>
      </c>
      <c r="J159">
        <v>30</v>
      </c>
      <c r="K159">
        <v>0</v>
      </c>
      <c r="L159">
        <v>0</v>
      </c>
      <c r="M159">
        <v>30</v>
      </c>
      <c r="N159">
        <v>1.1299999999999999</v>
      </c>
      <c r="O159" t="s">
        <v>121</v>
      </c>
      <c r="P159">
        <v>34.020000000000003</v>
      </c>
    </row>
    <row r="160" spans="1:16">
      <c r="A160" s="42" t="str">
        <f>VLOOKUP(E160,'Soort voorraad'!A:B,2,FALSE)</f>
        <v>Grijpvoorraad</v>
      </c>
      <c r="B160" t="s">
        <v>321</v>
      </c>
      <c r="C160" t="s">
        <v>322</v>
      </c>
      <c r="D160" t="s">
        <v>323</v>
      </c>
      <c r="E160" t="s">
        <v>410</v>
      </c>
      <c r="F160" t="s">
        <v>411</v>
      </c>
      <c r="G160" t="s">
        <v>1962</v>
      </c>
      <c r="H160">
        <v>30</v>
      </c>
      <c r="I160">
        <v>1</v>
      </c>
      <c r="J160">
        <v>30</v>
      </c>
      <c r="K160">
        <v>0</v>
      </c>
      <c r="L160">
        <v>0</v>
      </c>
      <c r="M160">
        <v>30</v>
      </c>
      <c r="N160">
        <v>0.38</v>
      </c>
      <c r="O160" t="s">
        <v>121</v>
      </c>
      <c r="P160">
        <v>11.35</v>
      </c>
    </row>
    <row r="161" spans="1:16">
      <c r="A161" s="42" t="str">
        <f>VLOOKUP(E161,'Soort voorraad'!A:B,2,FALSE)</f>
        <v>Grijpvoorraad</v>
      </c>
      <c r="B161" t="s">
        <v>321</v>
      </c>
      <c r="C161" t="s">
        <v>322</v>
      </c>
      <c r="D161" t="s">
        <v>323</v>
      </c>
      <c r="E161" t="s">
        <v>412</v>
      </c>
      <c r="F161" t="s">
        <v>413</v>
      </c>
      <c r="G161" t="s">
        <v>1963</v>
      </c>
      <c r="H161">
        <v>30</v>
      </c>
      <c r="I161">
        <v>1</v>
      </c>
      <c r="J161">
        <v>30</v>
      </c>
      <c r="K161">
        <v>0</v>
      </c>
      <c r="L161">
        <v>0</v>
      </c>
      <c r="M161">
        <v>30</v>
      </c>
      <c r="N161">
        <v>0.5</v>
      </c>
      <c r="O161" t="s">
        <v>121</v>
      </c>
      <c r="P161">
        <v>15.12</v>
      </c>
    </row>
    <row r="162" spans="1:16">
      <c r="A162" s="42" t="str">
        <f>VLOOKUP(E162,'Soort voorraad'!A:B,2,FALSE)</f>
        <v>Grijpvoorraad</v>
      </c>
      <c r="B162" t="s">
        <v>321</v>
      </c>
      <c r="C162" t="s">
        <v>322</v>
      </c>
      <c r="D162" t="s">
        <v>323</v>
      </c>
      <c r="E162" t="s">
        <v>414</v>
      </c>
      <c r="F162" t="s">
        <v>415</v>
      </c>
      <c r="G162" t="s">
        <v>1964</v>
      </c>
      <c r="H162">
        <v>30</v>
      </c>
      <c r="I162">
        <v>1</v>
      </c>
      <c r="J162">
        <v>30</v>
      </c>
      <c r="K162">
        <v>0</v>
      </c>
      <c r="L162">
        <v>0</v>
      </c>
      <c r="M162">
        <v>30</v>
      </c>
      <c r="N162">
        <v>0.5</v>
      </c>
      <c r="O162" t="s">
        <v>121</v>
      </c>
      <c r="P162">
        <v>15.12</v>
      </c>
    </row>
    <row r="163" spans="1:16">
      <c r="A163" s="42" t="str">
        <f>VLOOKUP(E163,'Soort voorraad'!A:B,2,FALSE)</f>
        <v>Grijpvoorraad</v>
      </c>
      <c r="B163" t="s">
        <v>321</v>
      </c>
      <c r="C163" t="s">
        <v>322</v>
      </c>
      <c r="D163" t="s">
        <v>323</v>
      </c>
      <c r="E163" t="s">
        <v>416</v>
      </c>
      <c r="F163" t="s">
        <v>417</v>
      </c>
      <c r="G163" t="s">
        <v>1965</v>
      </c>
      <c r="H163">
        <v>30</v>
      </c>
      <c r="I163">
        <v>10</v>
      </c>
      <c r="J163">
        <v>30</v>
      </c>
      <c r="K163">
        <v>0</v>
      </c>
      <c r="L163">
        <v>0</v>
      </c>
      <c r="M163">
        <v>30</v>
      </c>
      <c r="N163">
        <v>0.5</v>
      </c>
      <c r="O163" t="s">
        <v>121</v>
      </c>
      <c r="P163">
        <v>15.12</v>
      </c>
    </row>
    <row r="164" spans="1:16">
      <c r="A164" s="42" t="str">
        <f>VLOOKUP(E164,'Soort voorraad'!A:B,2,FALSE)</f>
        <v>Grijpvoorraad</v>
      </c>
      <c r="B164" t="s">
        <v>321</v>
      </c>
      <c r="C164" t="s">
        <v>322</v>
      </c>
      <c r="D164" t="s">
        <v>323</v>
      </c>
      <c r="E164" t="s">
        <v>418</v>
      </c>
      <c r="F164" t="s">
        <v>419</v>
      </c>
      <c r="G164" t="s">
        <v>1966</v>
      </c>
      <c r="H164">
        <v>30</v>
      </c>
      <c r="I164">
        <v>1</v>
      </c>
      <c r="J164">
        <v>30</v>
      </c>
      <c r="K164">
        <v>0</v>
      </c>
      <c r="L164">
        <v>0</v>
      </c>
      <c r="M164">
        <v>30</v>
      </c>
      <c r="N164">
        <v>0.72</v>
      </c>
      <c r="O164" t="s">
        <v>121</v>
      </c>
      <c r="P164">
        <v>21.51</v>
      </c>
    </row>
    <row r="165" spans="1:16">
      <c r="A165" s="42" t="str">
        <f>VLOOKUP(E165,'Soort voorraad'!A:B,2,FALSE)</f>
        <v>Grijpvoorraad</v>
      </c>
      <c r="B165" t="s">
        <v>321</v>
      </c>
      <c r="C165" t="s">
        <v>322</v>
      </c>
      <c r="D165" t="s">
        <v>323</v>
      </c>
      <c r="E165" t="s">
        <v>420</v>
      </c>
      <c r="F165" t="s">
        <v>421</v>
      </c>
      <c r="G165" t="s">
        <v>1967</v>
      </c>
      <c r="H165">
        <v>30</v>
      </c>
      <c r="I165">
        <v>1</v>
      </c>
      <c r="J165">
        <v>30</v>
      </c>
      <c r="K165">
        <v>0</v>
      </c>
      <c r="L165">
        <v>0</v>
      </c>
      <c r="M165">
        <v>30</v>
      </c>
      <c r="N165">
        <v>0.46</v>
      </c>
      <c r="O165" t="s">
        <v>121</v>
      </c>
      <c r="P165">
        <v>13.77</v>
      </c>
    </row>
    <row r="166" spans="1:16">
      <c r="A166" s="42" t="str">
        <f>VLOOKUP(E166,'Soort voorraad'!A:B,2,FALSE)</f>
        <v>Grijpvoorraad</v>
      </c>
      <c r="B166" t="s">
        <v>321</v>
      </c>
      <c r="C166" t="s">
        <v>322</v>
      </c>
      <c r="D166" t="s">
        <v>323</v>
      </c>
      <c r="E166" t="s">
        <v>422</v>
      </c>
      <c r="F166" t="s">
        <v>423</v>
      </c>
      <c r="G166" t="s">
        <v>1968</v>
      </c>
      <c r="H166">
        <v>200</v>
      </c>
      <c r="I166">
        <v>1</v>
      </c>
      <c r="J166">
        <v>60</v>
      </c>
      <c r="K166">
        <v>0</v>
      </c>
      <c r="L166">
        <v>0</v>
      </c>
      <c r="M166">
        <v>60</v>
      </c>
      <c r="N166">
        <v>0.71</v>
      </c>
      <c r="O166" t="s">
        <v>121</v>
      </c>
      <c r="P166">
        <v>42.6</v>
      </c>
    </row>
    <row r="167" spans="1:16">
      <c r="A167" s="42" t="str">
        <f>VLOOKUP(E167,'Soort voorraad'!A:B,2,FALSE)</f>
        <v>Grijpvoorraad</v>
      </c>
      <c r="B167" t="s">
        <v>321</v>
      </c>
      <c r="C167" t="s">
        <v>322</v>
      </c>
      <c r="D167" t="s">
        <v>323</v>
      </c>
      <c r="E167" t="s">
        <v>424</v>
      </c>
      <c r="F167" t="s">
        <v>425</v>
      </c>
      <c r="G167" t="s">
        <v>1969</v>
      </c>
      <c r="H167">
        <v>200</v>
      </c>
      <c r="I167">
        <v>1</v>
      </c>
      <c r="J167">
        <v>200</v>
      </c>
      <c r="K167">
        <v>0</v>
      </c>
      <c r="L167">
        <v>0</v>
      </c>
      <c r="M167">
        <v>200</v>
      </c>
      <c r="N167">
        <v>0.71</v>
      </c>
      <c r="O167" t="s">
        <v>121</v>
      </c>
      <c r="P167">
        <v>142</v>
      </c>
    </row>
    <row r="168" spans="1:16">
      <c r="A168" s="42" t="str">
        <f>VLOOKUP(E168,'Soort voorraad'!A:B,2,FALSE)</f>
        <v>Grijpvoorraad</v>
      </c>
      <c r="B168" t="s">
        <v>321</v>
      </c>
      <c r="C168" t="s">
        <v>322</v>
      </c>
      <c r="D168" t="s">
        <v>323</v>
      </c>
      <c r="E168" t="s">
        <v>426</v>
      </c>
      <c r="F168" t="s">
        <v>427</v>
      </c>
      <c r="G168" t="s">
        <v>1970</v>
      </c>
      <c r="H168">
        <v>100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1.02</v>
      </c>
      <c r="O168" t="s">
        <v>326</v>
      </c>
      <c r="P168">
        <v>0</v>
      </c>
    </row>
    <row r="169" spans="1:16">
      <c r="A169" s="42" t="str">
        <f>VLOOKUP(E169,'Soort voorraad'!A:B,2,FALSE)</f>
        <v>Grijpvoorraad</v>
      </c>
      <c r="B169" t="s">
        <v>321</v>
      </c>
      <c r="C169" t="s">
        <v>322</v>
      </c>
      <c r="D169" t="s">
        <v>323</v>
      </c>
      <c r="E169" t="s">
        <v>428</v>
      </c>
      <c r="F169" t="s">
        <v>429</v>
      </c>
      <c r="G169" t="s">
        <v>1971</v>
      </c>
      <c r="H169">
        <v>100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1.02</v>
      </c>
      <c r="O169" t="s">
        <v>326</v>
      </c>
      <c r="P169">
        <v>0</v>
      </c>
    </row>
    <row r="170" spans="1:16">
      <c r="A170" s="42" t="str">
        <f>VLOOKUP(E170,'Soort voorraad'!A:B,2,FALSE)</f>
        <v>Grijpvoorraad</v>
      </c>
      <c r="B170" t="s">
        <v>321</v>
      </c>
      <c r="C170" t="s">
        <v>322</v>
      </c>
      <c r="D170" t="s">
        <v>323</v>
      </c>
      <c r="E170" t="s">
        <v>430</v>
      </c>
      <c r="F170" t="s">
        <v>2320</v>
      </c>
      <c r="G170" t="s">
        <v>1972</v>
      </c>
      <c r="H170">
        <v>80</v>
      </c>
      <c r="I170">
        <v>1</v>
      </c>
      <c r="J170">
        <v>160</v>
      </c>
      <c r="K170">
        <v>0</v>
      </c>
      <c r="L170">
        <v>0</v>
      </c>
      <c r="M170">
        <v>160</v>
      </c>
      <c r="N170">
        <v>4.05</v>
      </c>
      <c r="O170" t="s">
        <v>121</v>
      </c>
      <c r="P170">
        <v>648</v>
      </c>
    </row>
    <row r="171" spans="1:16">
      <c r="A171" s="42" t="str">
        <f>VLOOKUP(E171,'Soort voorraad'!A:B,2,FALSE)</f>
        <v>Grijpvoorraad</v>
      </c>
      <c r="B171" t="s">
        <v>321</v>
      </c>
      <c r="C171" t="s">
        <v>322</v>
      </c>
      <c r="D171" t="s">
        <v>323</v>
      </c>
      <c r="E171" t="s">
        <v>359</v>
      </c>
      <c r="F171" t="s">
        <v>360</v>
      </c>
      <c r="G171" t="s">
        <v>1973</v>
      </c>
      <c r="H171">
        <v>10</v>
      </c>
      <c r="I171">
        <v>1</v>
      </c>
      <c r="J171">
        <v>10</v>
      </c>
      <c r="K171">
        <v>0</v>
      </c>
      <c r="L171">
        <v>0</v>
      </c>
      <c r="M171">
        <v>10</v>
      </c>
      <c r="N171">
        <v>0.75</v>
      </c>
      <c r="O171" t="s">
        <v>121</v>
      </c>
      <c r="P171">
        <v>7.5</v>
      </c>
    </row>
    <row r="172" spans="1:16">
      <c r="A172" s="42" t="str">
        <f>VLOOKUP(E172,'Soort voorraad'!A:B,2,FALSE)</f>
        <v>Grijpvoorraad</v>
      </c>
      <c r="B172" t="s">
        <v>321</v>
      </c>
      <c r="C172" t="s">
        <v>322</v>
      </c>
      <c r="D172" t="s">
        <v>323</v>
      </c>
      <c r="E172" t="s">
        <v>361</v>
      </c>
      <c r="F172" t="s">
        <v>362</v>
      </c>
      <c r="G172" t="s">
        <v>1974</v>
      </c>
      <c r="H172">
        <v>30</v>
      </c>
      <c r="I172">
        <v>1</v>
      </c>
      <c r="J172">
        <v>30</v>
      </c>
      <c r="K172">
        <v>0</v>
      </c>
      <c r="L172">
        <v>0</v>
      </c>
      <c r="M172">
        <v>30</v>
      </c>
      <c r="N172">
        <v>0.79</v>
      </c>
      <c r="O172" t="s">
        <v>121</v>
      </c>
      <c r="P172">
        <v>23.64</v>
      </c>
    </row>
    <row r="173" spans="1:16">
      <c r="A173" s="42" t="str">
        <f>VLOOKUP(E173,'Soort voorraad'!A:B,2,FALSE)</f>
        <v>Grijpvoorraad</v>
      </c>
      <c r="B173" t="s">
        <v>321</v>
      </c>
      <c r="C173" t="s">
        <v>322</v>
      </c>
      <c r="D173" t="s">
        <v>323</v>
      </c>
      <c r="E173" t="s">
        <v>363</v>
      </c>
      <c r="F173" t="s">
        <v>364</v>
      </c>
      <c r="G173" t="s">
        <v>1975</v>
      </c>
      <c r="H173">
        <v>30</v>
      </c>
      <c r="I173">
        <v>1</v>
      </c>
      <c r="J173">
        <v>20</v>
      </c>
      <c r="K173">
        <v>0</v>
      </c>
      <c r="L173">
        <v>0</v>
      </c>
      <c r="M173">
        <v>20</v>
      </c>
      <c r="N173">
        <v>0.56000000000000005</v>
      </c>
      <c r="O173" t="s">
        <v>121</v>
      </c>
      <c r="P173">
        <v>11.22</v>
      </c>
    </row>
    <row r="174" spans="1:16">
      <c r="A174" s="42" t="str">
        <f>VLOOKUP(E174,'Soort voorraad'!A:B,2,FALSE)</f>
        <v>Grijpvoorraad</v>
      </c>
      <c r="B174" t="s">
        <v>321</v>
      </c>
      <c r="C174" t="s">
        <v>322</v>
      </c>
      <c r="D174" t="s">
        <v>323</v>
      </c>
      <c r="E174" t="s">
        <v>365</v>
      </c>
      <c r="F174" t="s">
        <v>366</v>
      </c>
      <c r="G174" t="s">
        <v>1976</v>
      </c>
      <c r="H174">
        <v>30</v>
      </c>
      <c r="I174">
        <v>1</v>
      </c>
      <c r="J174">
        <v>30</v>
      </c>
      <c r="K174">
        <v>25</v>
      </c>
      <c r="L174">
        <v>0</v>
      </c>
      <c r="M174">
        <v>55</v>
      </c>
      <c r="N174">
        <v>1.39</v>
      </c>
      <c r="O174" t="s">
        <v>121</v>
      </c>
      <c r="P174">
        <v>41.71</v>
      </c>
    </row>
    <row r="175" spans="1:16">
      <c r="A175" s="42" t="str">
        <f>VLOOKUP(E175,'Soort voorraad'!A:B,2,FALSE)</f>
        <v>Grijpvoorraad</v>
      </c>
      <c r="B175" t="s">
        <v>321</v>
      </c>
      <c r="C175" t="s">
        <v>322</v>
      </c>
      <c r="D175" t="s">
        <v>323</v>
      </c>
      <c r="E175" t="s">
        <v>442</v>
      </c>
      <c r="F175" t="s">
        <v>443</v>
      </c>
      <c r="G175" t="s">
        <v>1977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1.42</v>
      </c>
      <c r="O175" t="s">
        <v>121</v>
      </c>
      <c r="P175">
        <v>0</v>
      </c>
    </row>
    <row r="176" spans="1:16">
      <c r="A176" s="42" t="str">
        <f>VLOOKUP(E176,'Soort voorraad'!A:B,2,FALSE)</f>
        <v>Grijpvoorraad</v>
      </c>
      <c r="B176" t="s">
        <v>321</v>
      </c>
      <c r="C176" t="s">
        <v>322</v>
      </c>
      <c r="D176" t="s">
        <v>323</v>
      </c>
      <c r="E176" t="s">
        <v>444</v>
      </c>
      <c r="F176" t="s">
        <v>445</v>
      </c>
      <c r="G176" t="s">
        <v>1978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1.56</v>
      </c>
      <c r="O176" t="s">
        <v>121</v>
      </c>
      <c r="P176">
        <v>0</v>
      </c>
    </row>
    <row r="177" spans="1:16">
      <c r="A177" s="42" t="str">
        <f>VLOOKUP(E177,'Soort voorraad'!A:B,2,FALSE)</f>
        <v>Grijpvoorraad</v>
      </c>
      <c r="B177" t="s">
        <v>321</v>
      </c>
      <c r="C177" t="s">
        <v>322</v>
      </c>
      <c r="D177" t="s">
        <v>323</v>
      </c>
      <c r="E177" t="s">
        <v>446</v>
      </c>
      <c r="F177" t="s">
        <v>447</v>
      </c>
      <c r="G177" t="s">
        <v>1979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1.28</v>
      </c>
      <c r="O177" t="s">
        <v>121</v>
      </c>
      <c r="P177">
        <v>0</v>
      </c>
    </row>
    <row r="178" spans="1:16">
      <c r="A178" s="42" t="str">
        <f>VLOOKUP(E178,'Soort voorraad'!A:B,2,FALSE)</f>
        <v>Grijpvoorraad</v>
      </c>
      <c r="B178" t="s">
        <v>321</v>
      </c>
      <c r="C178" t="s">
        <v>322</v>
      </c>
      <c r="D178" t="s">
        <v>323</v>
      </c>
      <c r="E178" t="s">
        <v>448</v>
      </c>
      <c r="F178" t="s">
        <v>449</v>
      </c>
      <c r="G178" t="s">
        <v>1980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1.42</v>
      </c>
      <c r="O178" t="s">
        <v>121</v>
      </c>
      <c r="P178">
        <v>0</v>
      </c>
    </row>
    <row r="179" spans="1:16">
      <c r="A179" s="42" t="str">
        <f>VLOOKUP(E179,'Soort voorraad'!A:B,2,FALSE)</f>
        <v>Grijpvoorraad</v>
      </c>
      <c r="B179" t="s">
        <v>321</v>
      </c>
      <c r="C179" t="s">
        <v>322</v>
      </c>
      <c r="D179" t="s">
        <v>323</v>
      </c>
      <c r="E179" t="s">
        <v>450</v>
      </c>
      <c r="F179" t="s">
        <v>451</v>
      </c>
      <c r="G179" t="s">
        <v>1981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1.77</v>
      </c>
      <c r="O179" t="s">
        <v>121</v>
      </c>
      <c r="P179">
        <v>0</v>
      </c>
    </row>
    <row r="180" spans="1:16">
      <c r="A180" s="42" t="str">
        <f>VLOOKUP(E180,'Soort voorraad'!A:B,2,FALSE)</f>
        <v>Projectvoorraad</v>
      </c>
      <c r="B180" t="s">
        <v>321</v>
      </c>
      <c r="C180" t="s">
        <v>322</v>
      </c>
      <c r="D180" t="s">
        <v>323</v>
      </c>
      <c r="E180" t="s">
        <v>167</v>
      </c>
      <c r="F180" t="s">
        <v>431</v>
      </c>
      <c r="G180" t="s">
        <v>1982</v>
      </c>
      <c r="H180">
        <v>5</v>
      </c>
      <c r="I180">
        <v>2</v>
      </c>
      <c r="J180">
        <v>3</v>
      </c>
      <c r="K180">
        <v>0</v>
      </c>
      <c r="L180">
        <v>0</v>
      </c>
      <c r="M180">
        <v>3</v>
      </c>
      <c r="N180">
        <v>3</v>
      </c>
      <c r="O180" t="s">
        <v>121</v>
      </c>
      <c r="P180">
        <v>9</v>
      </c>
    </row>
    <row r="181" spans="1:16">
      <c r="A181" s="42" t="str">
        <f>VLOOKUP(E181,'Soort voorraad'!A:B,2,FALSE)</f>
        <v>Grijpvoorraad</v>
      </c>
      <c r="B181" t="s">
        <v>321</v>
      </c>
      <c r="C181" t="s">
        <v>322</v>
      </c>
      <c r="D181" t="s">
        <v>323</v>
      </c>
      <c r="E181" t="s">
        <v>452</v>
      </c>
      <c r="F181" t="s">
        <v>453</v>
      </c>
      <c r="G181" t="s">
        <v>1983</v>
      </c>
      <c r="H181">
        <v>30</v>
      </c>
      <c r="I181">
        <v>1</v>
      </c>
      <c r="J181">
        <v>30</v>
      </c>
      <c r="K181">
        <v>0</v>
      </c>
      <c r="L181">
        <v>0</v>
      </c>
      <c r="M181">
        <v>30</v>
      </c>
      <c r="N181">
        <v>0.35</v>
      </c>
      <c r="O181" t="s">
        <v>121</v>
      </c>
      <c r="P181">
        <v>10.5</v>
      </c>
    </row>
    <row r="182" spans="1:16">
      <c r="A182" s="42" t="str">
        <f>VLOOKUP(E182,'Soort voorraad'!A:B,2,FALSE)</f>
        <v>Grijpvoorraad</v>
      </c>
      <c r="B182" t="s">
        <v>321</v>
      </c>
      <c r="C182" t="s">
        <v>322</v>
      </c>
      <c r="D182" t="s">
        <v>323</v>
      </c>
      <c r="E182" t="s">
        <v>454</v>
      </c>
      <c r="F182" t="s">
        <v>455</v>
      </c>
      <c r="G182" t="s">
        <v>1984</v>
      </c>
      <c r="H182">
        <v>30</v>
      </c>
      <c r="I182">
        <v>10</v>
      </c>
      <c r="J182">
        <v>30</v>
      </c>
      <c r="K182">
        <v>0</v>
      </c>
      <c r="L182">
        <v>0</v>
      </c>
      <c r="M182">
        <v>30</v>
      </c>
      <c r="N182">
        <v>0.39</v>
      </c>
      <c r="O182" t="s">
        <v>121</v>
      </c>
      <c r="P182">
        <v>11.75</v>
      </c>
    </row>
    <row r="183" spans="1:16">
      <c r="A183" s="42" t="str">
        <f>VLOOKUP(E183,'Soort voorraad'!A:B,2,FALSE)</f>
        <v>Grijpvoorraad</v>
      </c>
      <c r="B183" t="s">
        <v>321</v>
      </c>
      <c r="C183" t="s">
        <v>322</v>
      </c>
      <c r="D183" t="s">
        <v>323</v>
      </c>
      <c r="E183" t="s">
        <v>456</v>
      </c>
      <c r="F183" t="s">
        <v>457</v>
      </c>
      <c r="G183" t="s">
        <v>1985</v>
      </c>
      <c r="H183">
        <v>30</v>
      </c>
      <c r="I183">
        <v>1</v>
      </c>
      <c r="J183">
        <v>25</v>
      </c>
      <c r="K183">
        <v>0</v>
      </c>
      <c r="L183">
        <v>0</v>
      </c>
      <c r="M183">
        <v>25</v>
      </c>
      <c r="N183">
        <v>0.94</v>
      </c>
      <c r="O183" t="s">
        <v>121</v>
      </c>
      <c r="P183">
        <v>23.5</v>
      </c>
    </row>
    <row r="184" spans="1:16">
      <c r="A184" s="42" t="str">
        <f>VLOOKUP(E184,'Soort voorraad'!A:B,2,FALSE)</f>
        <v>Projectvoorraad</v>
      </c>
      <c r="B184" t="s">
        <v>321</v>
      </c>
      <c r="C184" t="s">
        <v>322</v>
      </c>
      <c r="D184" t="s">
        <v>323</v>
      </c>
      <c r="E184" t="s">
        <v>168</v>
      </c>
      <c r="F184" t="s">
        <v>432</v>
      </c>
      <c r="G184" t="s">
        <v>1986</v>
      </c>
      <c r="H184">
        <v>5</v>
      </c>
      <c r="I184">
        <v>2</v>
      </c>
      <c r="J184">
        <v>11</v>
      </c>
      <c r="K184">
        <v>0</v>
      </c>
      <c r="L184">
        <v>0</v>
      </c>
      <c r="M184">
        <v>11</v>
      </c>
      <c r="N184">
        <v>7.64</v>
      </c>
      <c r="O184" t="s">
        <v>121</v>
      </c>
      <c r="P184">
        <v>84.04</v>
      </c>
    </row>
    <row r="185" spans="1:16">
      <c r="A185" s="42" t="str">
        <f>VLOOKUP(E185,'Soort voorraad'!A:B,2,FALSE)</f>
        <v>Grijpvoorraad</v>
      </c>
      <c r="B185" t="s">
        <v>321</v>
      </c>
      <c r="C185" t="s">
        <v>322</v>
      </c>
      <c r="D185" t="s">
        <v>323</v>
      </c>
      <c r="E185" t="s">
        <v>458</v>
      </c>
      <c r="F185" t="s">
        <v>459</v>
      </c>
      <c r="G185" t="s">
        <v>1987</v>
      </c>
      <c r="H185">
        <v>30</v>
      </c>
      <c r="I185">
        <v>1</v>
      </c>
      <c r="J185">
        <v>5</v>
      </c>
      <c r="K185">
        <v>0</v>
      </c>
      <c r="L185">
        <v>0</v>
      </c>
      <c r="M185">
        <v>5</v>
      </c>
      <c r="N185">
        <v>0.94</v>
      </c>
      <c r="O185" t="s">
        <v>121</v>
      </c>
      <c r="P185">
        <v>4.7</v>
      </c>
    </row>
    <row r="186" spans="1:16">
      <c r="A186" s="42" t="str">
        <f>VLOOKUP(E186,'Soort voorraad'!A:B,2,FALSE)</f>
        <v>Grijpvoorraad</v>
      </c>
      <c r="B186" t="s">
        <v>321</v>
      </c>
      <c r="C186" t="s">
        <v>322</v>
      </c>
      <c r="D186" t="s">
        <v>323</v>
      </c>
      <c r="E186" t="s">
        <v>460</v>
      </c>
      <c r="F186" t="s">
        <v>461</v>
      </c>
      <c r="G186" t="s">
        <v>1988</v>
      </c>
      <c r="H186">
        <v>40</v>
      </c>
      <c r="I186">
        <v>10</v>
      </c>
      <c r="J186">
        <v>30</v>
      </c>
      <c r="K186">
        <v>0</v>
      </c>
      <c r="L186">
        <v>0</v>
      </c>
      <c r="M186">
        <v>30</v>
      </c>
      <c r="N186">
        <v>0.51</v>
      </c>
      <c r="O186" t="s">
        <v>121</v>
      </c>
      <c r="P186">
        <v>15.16</v>
      </c>
    </row>
    <row r="187" spans="1:16">
      <c r="A187" s="42" t="str">
        <f>VLOOKUP(E187,'Soort voorraad'!A:B,2,FALSE)</f>
        <v>Grijpvoorraad</v>
      </c>
      <c r="B187" t="s">
        <v>321</v>
      </c>
      <c r="C187" t="s">
        <v>322</v>
      </c>
      <c r="D187" t="s">
        <v>323</v>
      </c>
      <c r="E187" t="s">
        <v>462</v>
      </c>
      <c r="F187" t="s">
        <v>463</v>
      </c>
      <c r="G187" t="s">
        <v>1989</v>
      </c>
      <c r="H187">
        <v>30</v>
      </c>
      <c r="I187">
        <v>1</v>
      </c>
      <c r="J187">
        <v>25</v>
      </c>
      <c r="K187">
        <v>0</v>
      </c>
      <c r="L187">
        <v>0</v>
      </c>
      <c r="M187">
        <v>25</v>
      </c>
      <c r="N187">
        <v>0.51</v>
      </c>
      <c r="O187" t="s">
        <v>121</v>
      </c>
      <c r="P187">
        <v>12.75</v>
      </c>
    </row>
    <row r="188" spans="1:16">
      <c r="A188" s="42" t="str">
        <f>VLOOKUP(E188,'Soort voorraad'!A:B,2,FALSE)</f>
        <v>Grijpvoorraad</v>
      </c>
      <c r="B188" t="s">
        <v>321</v>
      </c>
      <c r="C188" t="s">
        <v>322</v>
      </c>
      <c r="D188" t="s">
        <v>323</v>
      </c>
      <c r="E188" t="s">
        <v>464</v>
      </c>
      <c r="F188" t="s">
        <v>465</v>
      </c>
      <c r="G188" t="s">
        <v>1990</v>
      </c>
      <c r="H188">
        <v>30</v>
      </c>
      <c r="I188">
        <v>1</v>
      </c>
      <c r="J188">
        <v>30</v>
      </c>
      <c r="K188">
        <v>0</v>
      </c>
      <c r="L188">
        <v>0</v>
      </c>
      <c r="M188">
        <v>30</v>
      </c>
      <c r="N188">
        <v>0.37</v>
      </c>
      <c r="O188" t="s">
        <v>121</v>
      </c>
      <c r="P188">
        <v>11.07</v>
      </c>
    </row>
    <row r="189" spans="1:16">
      <c r="A189" s="42" t="str">
        <f>VLOOKUP(E189,'Soort voorraad'!A:B,2,FALSE)</f>
        <v>Grijpvoorraad</v>
      </c>
      <c r="B189" t="s">
        <v>321</v>
      </c>
      <c r="C189" t="s">
        <v>322</v>
      </c>
      <c r="D189" t="s">
        <v>323</v>
      </c>
      <c r="E189" t="s">
        <v>466</v>
      </c>
      <c r="F189" t="s">
        <v>467</v>
      </c>
      <c r="G189" t="s">
        <v>1991</v>
      </c>
      <c r="H189">
        <v>20</v>
      </c>
      <c r="I189">
        <v>1</v>
      </c>
      <c r="J189">
        <v>20</v>
      </c>
      <c r="K189">
        <v>0</v>
      </c>
      <c r="L189">
        <v>0</v>
      </c>
      <c r="M189">
        <v>20</v>
      </c>
      <c r="N189">
        <v>1.51</v>
      </c>
      <c r="O189" t="s">
        <v>121</v>
      </c>
      <c r="P189">
        <v>30.2</v>
      </c>
    </row>
    <row r="190" spans="1:16">
      <c r="A190" s="42" t="str">
        <f>VLOOKUP(E190,'Soort voorraad'!A:B,2,FALSE)</f>
        <v>Grijpvoorraad</v>
      </c>
      <c r="B190" t="s">
        <v>321</v>
      </c>
      <c r="C190" t="s">
        <v>322</v>
      </c>
      <c r="D190" t="s">
        <v>323</v>
      </c>
      <c r="E190" t="s">
        <v>468</v>
      </c>
      <c r="F190" t="s">
        <v>469</v>
      </c>
      <c r="G190" t="s">
        <v>1992</v>
      </c>
      <c r="H190">
        <v>30</v>
      </c>
      <c r="I190">
        <v>1</v>
      </c>
      <c r="J190">
        <v>40</v>
      </c>
      <c r="K190">
        <v>0</v>
      </c>
      <c r="L190">
        <v>0</v>
      </c>
      <c r="M190">
        <v>40</v>
      </c>
      <c r="N190">
        <v>0.72</v>
      </c>
      <c r="O190" t="s">
        <v>121</v>
      </c>
      <c r="P190">
        <v>28.8</v>
      </c>
    </row>
    <row r="191" spans="1:16">
      <c r="A191" s="42" t="str">
        <f>VLOOKUP(E191,'Soort voorraad'!A:B,2,FALSE)</f>
        <v>Projectvoorraad</v>
      </c>
      <c r="B191" t="s">
        <v>321</v>
      </c>
      <c r="C191" t="s">
        <v>322</v>
      </c>
      <c r="D191" t="s">
        <v>323</v>
      </c>
      <c r="E191" t="s">
        <v>169</v>
      </c>
      <c r="F191" t="s">
        <v>433</v>
      </c>
      <c r="G191" t="s">
        <v>1993</v>
      </c>
      <c r="H191">
        <v>5</v>
      </c>
      <c r="I191">
        <v>2</v>
      </c>
      <c r="J191">
        <v>5</v>
      </c>
      <c r="K191">
        <v>0</v>
      </c>
      <c r="L191">
        <v>0</v>
      </c>
      <c r="M191">
        <v>5</v>
      </c>
      <c r="N191">
        <v>15.41</v>
      </c>
      <c r="O191" t="s">
        <v>121</v>
      </c>
      <c r="P191">
        <v>77.05</v>
      </c>
    </row>
    <row r="192" spans="1:16">
      <c r="A192" s="42" t="str">
        <f>VLOOKUP(E192,'Soort voorraad'!A:B,2,FALSE)</f>
        <v>Grijpvoorraad</v>
      </c>
      <c r="B192" t="s">
        <v>321</v>
      </c>
      <c r="C192" t="s">
        <v>322</v>
      </c>
      <c r="D192" t="s">
        <v>323</v>
      </c>
      <c r="E192" t="s">
        <v>470</v>
      </c>
      <c r="F192" t="s">
        <v>471</v>
      </c>
      <c r="G192" t="s">
        <v>1994</v>
      </c>
      <c r="H192">
        <v>30</v>
      </c>
      <c r="I192">
        <v>1</v>
      </c>
      <c r="J192">
        <v>20</v>
      </c>
      <c r="K192">
        <v>0</v>
      </c>
      <c r="L192">
        <v>0</v>
      </c>
      <c r="M192">
        <v>20</v>
      </c>
      <c r="N192">
        <v>0.4</v>
      </c>
      <c r="O192" t="s">
        <v>121</v>
      </c>
      <c r="P192">
        <v>8</v>
      </c>
    </row>
    <row r="193" spans="1:16">
      <c r="A193" s="42" t="str">
        <f>VLOOKUP(E193,'Soort voorraad'!A:B,2,FALSE)</f>
        <v>Grijpvoorraad</v>
      </c>
      <c r="B193" t="s">
        <v>321</v>
      </c>
      <c r="C193" t="s">
        <v>322</v>
      </c>
      <c r="D193" t="s">
        <v>323</v>
      </c>
      <c r="E193" t="s">
        <v>472</v>
      </c>
      <c r="F193" t="s">
        <v>473</v>
      </c>
      <c r="G193" t="s">
        <v>1995</v>
      </c>
      <c r="H193">
        <v>20</v>
      </c>
      <c r="I193">
        <v>1</v>
      </c>
      <c r="J193">
        <v>20</v>
      </c>
      <c r="K193">
        <v>0</v>
      </c>
      <c r="L193">
        <v>0</v>
      </c>
      <c r="M193">
        <v>20</v>
      </c>
      <c r="N193">
        <v>1.58</v>
      </c>
      <c r="O193" t="s">
        <v>121</v>
      </c>
      <c r="P193">
        <v>31.5</v>
      </c>
    </row>
    <row r="194" spans="1:16">
      <c r="A194" s="42" t="str">
        <f>VLOOKUP(E194,'Soort voorraad'!A:B,2,FALSE)</f>
        <v>Grijpvoorraad</v>
      </c>
      <c r="B194" t="s">
        <v>321</v>
      </c>
      <c r="C194" t="s">
        <v>322</v>
      </c>
      <c r="D194" t="s">
        <v>323</v>
      </c>
      <c r="E194" t="s">
        <v>474</v>
      </c>
      <c r="F194" t="s">
        <v>475</v>
      </c>
      <c r="G194" t="s">
        <v>1996</v>
      </c>
      <c r="H194">
        <v>30</v>
      </c>
      <c r="I194">
        <v>1</v>
      </c>
      <c r="J194">
        <v>40</v>
      </c>
      <c r="K194">
        <v>0</v>
      </c>
      <c r="L194">
        <v>0</v>
      </c>
      <c r="M194">
        <v>40</v>
      </c>
      <c r="N194">
        <v>1.98</v>
      </c>
      <c r="O194" t="s">
        <v>121</v>
      </c>
      <c r="P194">
        <v>79.23</v>
      </c>
    </row>
    <row r="195" spans="1:16">
      <c r="A195" s="42" t="str">
        <f>VLOOKUP(E195,'Soort voorraad'!A:B,2,FALSE)</f>
        <v>Grijpvoorraad</v>
      </c>
      <c r="B195" t="s">
        <v>321</v>
      </c>
      <c r="C195" t="s">
        <v>322</v>
      </c>
      <c r="D195" t="s">
        <v>323</v>
      </c>
      <c r="E195" t="s">
        <v>476</v>
      </c>
      <c r="F195" t="s">
        <v>477</v>
      </c>
      <c r="G195" t="s">
        <v>1997</v>
      </c>
      <c r="H195">
        <v>30</v>
      </c>
      <c r="I195">
        <v>1</v>
      </c>
      <c r="J195">
        <v>30</v>
      </c>
      <c r="K195">
        <v>0</v>
      </c>
      <c r="L195">
        <v>0</v>
      </c>
      <c r="M195">
        <v>30</v>
      </c>
      <c r="N195">
        <v>0.75</v>
      </c>
      <c r="O195" t="s">
        <v>121</v>
      </c>
      <c r="P195">
        <v>22.5</v>
      </c>
    </row>
    <row r="196" spans="1:16">
      <c r="A196" s="42" t="str">
        <f>VLOOKUP(E196,'Soort voorraad'!A:B,2,FALSE)</f>
        <v>Grijpvoorraad</v>
      </c>
      <c r="B196" t="s">
        <v>321</v>
      </c>
      <c r="C196" t="s">
        <v>322</v>
      </c>
      <c r="D196" t="s">
        <v>323</v>
      </c>
      <c r="E196" t="s">
        <v>478</v>
      </c>
      <c r="F196" t="s">
        <v>479</v>
      </c>
      <c r="G196" t="s">
        <v>1998</v>
      </c>
      <c r="H196">
        <v>30</v>
      </c>
      <c r="I196">
        <v>1</v>
      </c>
      <c r="J196">
        <v>30</v>
      </c>
      <c r="K196">
        <v>0</v>
      </c>
      <c r="L196">
        <v>0</v>
      </c>
      <c r="M196">
        <v>30</v>
      </c>
      <c r="N196">
        <v>0.78</v>
      </c>
      <c r="O196" t="s">
        <v>121</v>
      </c>
      <c r="P196">
        <v>23.34</v>
      </c>
    </row>
    <row r="197" spans="1:16">
      <c r="A197" s="42" t="str">
        <f>VLOOKUP(E197,'Soort voorraad'!A:B,2,FALSE)</f>
        <v>Grijpvoorraad</v>
      </c>
      <c r="B197" t="s">
        <v>321</v>
      </c>
      <c r="C197" t="s">
        <v>322</v>
      </c>
      <c r="D197" t="s">
        <v>323</v>
      </c>
      <c r="E197" t="s">
        <v>480</v>
      </c>
      <c r="F197" t="s">
        <v>481</v>
      </c>
      <c r="G197" t="s">
        <v>1999</v>
      </c>
      <c r="H197">
        <v>30</v>
      </c>
      <c r="I197">
        <v>1</v>
      </c>
      <c r="J197">
        <v>20</v>
      </c>
      <c r="K197">
        <v>0</v>
      </c>
      <c r="L197">
        <v>0</v>
      </c>
      <c r="M197">
        <v>20</v>
      </c>
      <c r="N197">
        <v>0.72</v>
      </c>
      <c r="O197" t="s">
        <v>121</v>
      </c>
      <c r="P197">
        <v>14.4</v>
      </c>
    </row>
    <row r="198" spans="1:16">
      <c r="A198" s="42" t="str">
        <f>VLOOKUP(E198,'Soort voorraad'!A:B,2,FALSE)</f>
        <v>Grijpvoorraad</v>
      </c>
      <c r="B198" t="s">
        <v>321</v>
      </c>
      <c r="C198" t="s">
        <v>322</v>
      </c>
      <c r="D198" t="s">
        <v>323</v>
      </c>
      <c r="E198" t="s">
        <v>434</v>
      </c>
      <c r="F198" t="s">
        <v>435</v>
      </c>
      <c r="G198" t="s">
        <v>2000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1.56</v>
      </c>
      <c r="O198" t="s">
        <v>121</v>
      </c>
      <c r="P198">
        <v>0</v>
      </c>
    </row>
    <row r="199" spans="1:16">
      <c r="A199" s="42" t="str">
        <f>VLOOKUP(E199,'Soort voorraad'!A:B,2,FALSE)</f>
        <v>Grijpvoorraad</v>
      </c>
      <c r="B199" t="s">
        <v>321</v>
      </c>
      <c r="C199" t="s">
        <v>322</v>
      </c>
      <c r="D199" t="s">
        <v>323</v>
      </c>
      <c r="E199" t="s">
        <v>436</v>
      </c>
      <c r="F199" t="s">
        <v>437</v>
      </c>
      <c r="G199" t="s">
        <v>2001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2.06</v>
      </c>
      <c r="O199" t="s">
        <v>121</v>
      </c>
      <c r="P199">
        <v>0</v>
      </c>
    </row>
    <row r="200" spans="1:16">
      <c r="A200" s="42" t="str">
        <f>VLOOKUP(E200,'Soort voorraad'!A:B,2,FALSE)</f>
        <v>Grijpvoorraad</v>
      </c>
      <c r="B200" t="s">
        <v>321</v>
      </c>
      <c r="C200" t="s">
        <v>322</v>
      </c>
      <c r="D200" t="s">
        <v>323</v>
      </c>
      <c r="E200" t="s">
        <v>438</v>
      </c>
      <c r="F200" t="s">
        <v>439</v>
      </c>
      <c r="G200" t="s">
        <v>2002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1.28</v>
      </c>
      <c r="O200" t="s">
        <v>121</v>
      </c>
      <c r="P200">
        <v>0</v>
      </c>
    </row>
    <row r="201" spans="1:16">
      <c r="A201" s="42" t="str">
        <f>VLOOKUP(E201,'Soort voorraad'!A:B,2,FALSE)</f>
        <v>Grijpvoorraad</v>
      </c>
      <c r="B201" t="s">
        <v>321</v>
      </c>
      <c r="C201" t="s">
        <v>322</v>
      </c>
      <c r="D201" t="s">
        <v>323</v>
      </c>
      <c r="E201" t="s">
        <v>440</v>
      </c>
      <c r="F201" t="s">
        <v>441</v>
      </c>
      <c r="G201" t="s">
        <v>2003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1.77</v>
      </c>
      <c r="O201" t="s">
        <v>121</v>
      </c>
      <c r="P201">
        <v>0</v>
      </c>
    </row>
    <row r="202" spans="1:16">
      <c r="A202" s="42" t="str">
        <f>VLOOKUP(E202,'Soort voorraad'!A:B,2,FALSE)</f>
        <v>Grijpvoorraad</v>
      </c>
      <c r="B202" t="s">
        <v>321</v>
      </c>
      <c r="C202" t="s">
        <v>322</v>
      </c>
      <c r="D202" t="s">
        <v>323</v>
      </c>
      <c r="E202" t="s">
        <v>484</v>
      </c>
      <c r="F202" t="s">
        <v>485</v>
      </c>
      <c r="G202" t="s">
        <v>2004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36.1</v>
      </c>
      <c r="O202" t="s">
        <v>328</v>
      </c>
      <c r="P202">
        <v>0</v>
      </c>
    </row>
    <row r="203" spans="1:16">
      <c r="A203" s="42" t="str">
        <f>VLOOKUP(E203,'Soort voorraad'!A:B,2,FALSE)</f>
        <v>Grijpvoorraad</v>
      </c>
      <c r="B203" t="s">
        <v>321</v>
      </c>
      <c r="C203" t="s">
        <v>322</v>
      </c>
      <c r="D203" t="s">
        <v>323</v>
      </c>
      <c r="E203" t="s">
        <v>486</v>
      </c>
      <c r="F203" t="s">
        <v>487</v>
      </c>
      <c r="G203" t="s">
        <v>2005</v>
      </c>
      <c r="H203">
        <v>1</v>
      </c>
      <c r="I203">
        <v>1</v>
      </c>
      <c r="J203">
        <v>1</v>
      </c>
      <c r="K203">
        <v>0</v>
      </c>
      <c r="L203">
        <v>0</v>
      </c>
      <c r="M203">
        <v>1</v>
      </c>
      <c r="N203">
        <v>50.51</v>
      </c>
      <c r="O203" t="s">
        <v>328</v>
      </c>
      <c r="P203">
        <v>50.51</v>
      </c>
    </row>
    <row r="204" spans="1:16">
      <c r="A204" s="42" t="str">
        <f>VLOOKUP(E204,'Soort voorraad'!A:B,2,FALSE)</f>
        <v>Grijpvoorraad</v>
      </c>
      <c r="B204" t="s">
        <v>321</v>
      </c>
      <c r="C204" t="s">
        <v>322</v>
      </c>
      <c r="D204" t="s">
        <v>323</v>
      </c>
      <c r="E204" t="s">
        <v>489</v>
      </c>
      <c r="F204" t="s">
        <v>490</v>
      </c>
      <c r="G204" t="s">
        <v>2006</v>
      </c>
      <c r="H204">
        <v>1</v>
      </c>
      <c r="I204">
        <v>0</v>
      </c>
      <c r="J204">
        <v>1</v>
      </c>
      <c r="K204">
        <v>0</v>
      </c>
      <c r="L204">
        <v>0</v>
      </c>
      <c r="M204">
        <v>1</v>
      </c>
      <c r="N204">
        <v>53.33</v>
      </c>
      <c r="O204" t="s">
        <v>328</v>
      </c>
      <c r="P204">
        <v>53.33</v>
      </c>
    </row>
    <row r="205" spans="1:16">
      <c r="A205" s="42" t="str">
        <f>VLOOKUP(E205,'Soort voorraad'!A:B,2,FALSE)</f>
        <v>Grijpvoorraad</v>
      </c>
      <c r="B205" t="s">
        <v>321</v>
      </c>
      <c r="C205" t="s">
        <v>322</v>
      </c>
      <c r="D205" t="s">
        <v>323</v>
      </c>
      <c r="E205" t="s">
        <v>491</v>
      </c>
      <c r="F205" t="s">
        <v>492</v>
      </c>
      <c r="G205" t="s">
        <v>2007</v>
      </c>
      <c r="H205">
        <v>1</v>
      </c>
      <c r="I205">
        <v>1</v>
      </c>
      <c r="J205">
        <v>1</v>
      </c>
      <c r="K205">
        <v>0</v>
      </c>
      <c r="L205">
        <v>0</v>
      </c>
      <c r="M205">
        <v>1</v>
      </c>
      <c r="N205">
        <v>22.46</v>
      </c>
      <c r="O205" t="s">
        <v>328</v>
      </c>
      <c r="P205">
        <v>22.46</v>
      </c>
    </row>
    <row r="206" spans="1:16">
      <c r="A206" s="42" t="str">
        <f>VLOOKUP(E206,'Soort voorraad'!A:B,2,FALSE)</f>
        <v>Grijpvoorraad</v>
      </c>
      <c r="B206" t="s">
        <v>321</v>
      </c>
      <c r="C206" t="s">
        <v>322</v>
      </c>
      <c r="D206" t="s">
        <v>323</v>
      </c>
      <c r="E206" t="s">
        <v>493</v>
      </c>
      <c r="F206" t="s">
        <v>494</v>
      </c>
      <c r="G206" t="s">
        <v>2008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24.61</v>
      </c>
      <c r="O206" t="s">
        <v>328</v>
      </c>
      <c r="P206">
        <v>0</v>
      </c>
    </row>
    <row r="207" spans="1:16">
      <c r="A207" s="42" t="str">
        <f>VLOOKUP(E207,'Soort voorraad'!A:B,2,FALSE)</f>
        <v>Grijpvoorraad</v>
      </c>
      <c r="B207" t="s">
        <v>321</v>
      </c>
      <c r="C207" t="s">
        <v>322</v>
      </c>
      <c r="D207" t="s">
        <v>323</v>
      </c>
      <c r="E207" t="s">
        <v>495</v>
      </c>
      <c r="F207" t="s">
        <v>496</v>
      </c>
      <c r="G207" t="s">
        <v>2009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13.8</v>
      </c>
      <c r="O207" t="s">
        <v>121</v>
      </c>
      <c r="P207">
        <v>0</v>
      </c>
    </row>
    <row r="208" spans="1:16">
      <c r="A208" s="42" t="str">
        <f>VLOOKUP(E208,'Soort voorraad'!A:B,2,FALSE)</f>
        <v>Grijpvoorraad</v>
      </c>
      <c r="B208" t="s">
        <v>321</v>
      </c>
      <c r="C208" t="s">
        <v>322</v>
      </c>
      <c r="D208" t="s">
        <v>323</v>
      </c>
      <c r="E208" t="s">
        <v>1684</v>
      </c>
      <c r="F208" t="s">
        <v>1685</v>
      </c>
      <c r="G208" t="s">
        <v>2010</v>
      </c>
      <c r="H208">
        <v>1</v>
      </c>
      <c r="I208">
        <v>1</v>
      </c>
      <c r="J208">
        <v>10</v>
      </c>
      <c r="K208">
        <v>0</v>
      </c>
      <c r="L208">
        <v>0</v>
      </c>
      <c r="M208">
        <v>10</v>
      </c>
      <c r="N208">
        <v>5.73</v>
      </c>
      <c r="O208" t="s">
        <v>121</v>
      </c>
      <c r="P208">
        <v>57.3</v>
      </c>
    </row>
    <row r="209" spans="1:16">
      <c r="A209" s="42" t="str">
        <f>VLOOKUP(E209,'Soort voorraad'!A:B,2,FALSE)</f>
        <v>Grijpvoorraad</v>
      </c>
      <c r="B209" t="s">
        <v>321</v>
      </c>
      <c r="C209" t="s">
        <v>322</v>
      </c>
      <c r="D209" t="s">
        <v>323</v>
      </c>
      <c r="E209" t="s">
        <v>497</v>
      </c>
      <c r="F209" t="s">
        <v>498</v>
      </c>
      <c r="G209" t="s">
        <v>2011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7.54</v>
      </c>
      <c r="O209" t="s">
        <v>332</v>
      </c>
      <c r="P209">
        <v>0</v>
      </c>
    </row>
    <row r="210" spans="1:16">
      <c r="A210" s="42" t="str">
        <f>VLOOKUP(E210,'Soort voorraad'!A:B,2,FALSE)</f>
        <v>Grijpvoorraad</v>
      </c>
      <c r="B210" t="s">
        <v>321</v>
      </c>
      <c r="C210" t="s">
        <v>322</v>
      </c>
      <c r="D210" t="s">
        <v>323</v>
      </c>
      <c r="E210" t="s">
        <v>499</v>
      </c>
      <c r="F210" t="s">
        <v>500</v>
      </c>
      <c r="G210" t="s">
        <v>2012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5.73</v>
      </c>
      <c r="O210" t="s">
        <v>121</v>
      </c>
      <c r="P210">
        <v>0</v>
      </c>
    </row>
    <row r="211" spans="1:16">
      <c r="A211" s="42" t="str">
        <f>VLOOKUP(E211,'Soort voorraad'!A:B,2,FALSE)</f>
        <v>Grijpvoorraad</v>
      </c>
      <c r="B211" t="s">
        <v>321</v>
      </c>
      <c r="C211" t="s">
        <v>322</v>
      </c>
      <c r="D211" t="s">
        <v>323</v>
      </c>
      <c r="E211" t="s">
        <v>501</v>
      </c>
      <c r="F211" t="s">
        <v>502</v>
      </c>
      <c r="G211" t="s">
        <v>2013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10.72</v>
      </c>
      <c r="O211" t="s">
        <v>332</v>
      </c>
      <c r="P211">
        <v>0</v>
      </c>
    </row>
    <row r="212" spans="1:16">
      <c r="A212" s="42" t="str">
        <f>VLOOKUP(E212,'Soort voorraad'!A:B,2,FALSE)</f>
        <v>Grijpvoorraad</v>
      </c>
      <c r="B212" t="s">
        <v>321</v>
      </c>
      <c r="C212" t="s">
        <v>322</v>
      </c>
      <c r="D212" t="s">
        <v>323</v>
      </c>
      <c r="E212" t="s">
        <v>503</v>
      </c>
      <c r="F212" t="s">
        <v>504</v>
      </c>
      <c r="G212" t="s">
        <v>2014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10.210000000000001</v>
      </c>
      <c r="O212" t="s">
        <v>332</v>
      </c>
      <c r="P212">
        <v>0</v>
      </c>
    </row>
    <row r="213" spans="1:16">
      <c r="A213" s="42" t="str">
        <f>VLOOKUP(E213,'Soort voorraad'!A:B,2,FALSE)</f>
        <v>Grijpvoorraad</v>
      </c>
      <c r="B213" t="s">
        <v>321</v>
      </c>
      <c r="C213" t="s">
        <v>322</v>
      </c>
      <c r="D213" t="s">
        <v>323</v>
      </c>
      <c r="E213" t="s">
        <v>505</v>
      </c>
      <c r="F213" t="s">
        <v>506</v>
      </c>
      <c r="G213" t="s">
        <v>2015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11.7</v>
      </c>
      <c r="O213" t="s">
        <v>332</v>
      </c>
      <c r="P213">
        <v>0</v>
      </c>
    </row>
    <row r="214" spans="1:16">
      <c r="A214" s="42" t="str">
        <f>VLOOKUP(E214,'Soort voorraad'!A:B,2,FALSE)</f>
        <v>Grijpvoorraad</v>
      </c>
      <c r="B214" t="s">
        <v>321</v>
      </c>
      <c r="C214" t="s">
        <v>322</v>
      </c>
      <c r="D214" t="s">
        <v>323</v>
      </c>
      <c r="E214" t="s">
        <v>507</v>
      </c>
      <c r="F214" t="s">
        <v>508</v>
      </c>
      <c r="G214" t="s">
        <v>2016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11.7</v>
      </c>
      <c r="O214" t="s">
        <v>332</v>
      </c>
      <c r="P214">
        <v>0</v>
      </c>
    </row>
    <row r="215" spans="1:16">
      <c r="A215" s="42" t="str">
        <f>VLOOKUP(E215,'Soort voorraad'!A:B,2,FALSE)</f>
        <v>Grijpvoorraad</v>
      </c>
      <c r="B215" t="s">
        <v>321</v>
      </c>
      <c r="C215" t="s">
        <v>322</v>
      </c>
      <c r="D215" t="s">
        <v>323</v>
      </c>
      <c r="E215" t="s">
        <v>509</v>
      </c>
      <c r="F215" t="s">
        <v>510</v>
      </c>
      <c r="G215" t="s">
        <v>2017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12.66</v>
      </c>
      <c r="O215" t="s">
        <v>332</v>
      </c>
      <c r="P215">
        <v>0</v>
      </c>
    </row>
    <row r="216" spans="1:16">
      <c r="A216" s="42" t="str">
        <f>VLOOKUP(E216,'Soort voorraad'!A:B,2,FALSE)</f>
        <v>Grijpvoorraad</v>
      </c>
      <c r="B216" t="s">
        <v>321</v>
      </c>
      <c r="C216" t="s">
        <v>322</v>
      </c>
      <c r="D216" t="s">
        <v>323</v>
      </c>
      <c r="E216" t="s">
        <v>511</v>
      </c>
      <c r="F216" t="s">
        <v>512</v>
      </c>
      <c r="G216" t="s">
        <v>2018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12.66</v>
      </c>
      <c r="O216" t="s">
        <v>332</v>
      </c>
      <c r="P216">
        <v>0</v>
      </c>
    </row>
    <row r="217" spans="1:16">
      <c r="A217" s="42" t="str">
        <f>VLOOKUP(E217,'Soort voorraad'!A:B,2,FALSE)</f>
        <v>Grijpvoorraad</v>
      </c>
      <c r="B217" t="s">
        <v>321</v>
      </c>
      <c r="C217" t="s">
        <v>322</v>
      </c>
      <c r="D217" t="s">
        <v>323</v>
      </c>
      <c r="E217" t="s">
        <v>963</v>
      </c>
      <c r="F217" t="s">
        <v>964</v>
      </c>
      <c r="G217" t="s">
        <v>2019</v>
      </c>
      <c r="H217">
        <v>25</v>
      </c>
      <c r="I217">
        <v>1</v>
      </c>
      <c r="J217">
        <v>14</v>
      </c>
      <c r="K217">
        <v>0</v>
      </c>
      <c r="L217">
        <v>0</v>
      </c>
      <c r="M217">
        <v>14</v>
      </c>
      <c r="N217">
        <v>4.4000000000000004</v>
      </c>
      <c r="O217" t="s">
        <v>121</v>
      </c>
      <c r="P217">
        <v>61.6</v>
      </c>
    </row>
    <row r="218" spans="1:16">
      <c r="A218" s="42" t="str">
        <f>VLOOKUP(E218,'Soort voorraad'!A:B,2,FALSE)</f>
        <v>Grijpvoorraad</v>
      </c>
      <c r="B218" t="s">
        <v>321</v>
      </c>
      <c r="C218" t="s">
        <v>322</v>
      </c>
      <c r="D218" t="s">
        <v>323</v>
      </c>
      <c r="E218" t="s">
        <v>482</v>
      </c>
      <c r="F218" t="s">
        <v>483</v>
      </c>
      <c r="G218" t="s">
        <v>2020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83.77</v>
      </c>
      <c r="O218" t="s">
        <v>326</v>
      </c>
      <c r="P218">
        <v>0</v>
      </c>
    </row>
    <row r="219" spans="1:16">
      <c r="A219" s="42" t="str">
        <f>VLOOKUP(E219,'Soort voorraad'!A:B,2,FALSE)</f>
        <v>Grijpvoorraad</v>
      </c>
      <c r="B219" t="s">
        <v>321</v>
      </c>
      <c r="C219" t="s">
        <v>322</v>
      </c>
      <c r="D219" t="s">
        <v>323</v>
      </c>
      <c r="E219" t="s">
        <v>513</v>
      </c>
      <c r="F219" t="s">
        <v>514</v>
      </c>
      <c r="G219" t="s">
        <v>2021</v>
      </c>
      <c r="H219">
        <v>30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1.48</v>
      </c>
      <c r="O219" t="s">
        <v>121</v>
      </c>
      <c r="P219">
        <v>0</v>
      </c>
    </row>
    <row r="220" spans="1:16">
      <c r="A220" s="42" t="str">
        <f>VLOOKUP(E220,'Soort voorraad'!A:B,2,FALSE)</f>
        <v>Grijpvoorraad</v>
      </c>
      <c r="B220" t="s">
        <v>321</v>
      </c>
      <c r="C220" t="s">
        <v>322</v>
      </c>
      <c r="D220" t="s">
        <v>323</v>
      </c>
      <c r="E220" t="s">
        <v>527</v>
      </c>
      <c r="F220" t="s">
        <v>528</v>
      </c>
      <c r="G220" t="s">
        <v>2022</v>
      </c>
      <c r="H220">
        <v>50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1.72</v>
      </c>
      <c r="O220" t="s">
        <v>121</v>
      </c>
      <c r="P220">
        <v>0</v>
      </c>
    </row>
    <row r="221" spans="1:16">
      <c r="A221" s="42" t="str">
        <f>VLOOKUP(E221,'Soort voorraad'!A:B,2,FALSE)</f>
        <v>Grijpvoorraad</v>
      </c>
      <c r="B221" t="s">
        <v>321</v>
      </c>
      <c r="C221" t="s">
        <v>322</v>
      </c>
      <c r="D221" t="s">
        <v>323</v>
      </c>
      <c r="E221" t="s">
        <v>529</v>
      </c>
      <c r="F221" t="s">
        <v>530</v>
      </c>
      <c r="G221" t="s">
        <v>2023</v>
      </c>
      <c r="H221">
        <v>50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2.25</v>
      </c>
      <c r="O221" t="s">
        <v>121</v>
      </c>
      <c r="P221">
        <v>0</v>
      </c>
    </row>
    <row r="222" spans="1:16">
      <c r="A222" s="42" t="str">
        <f>VLOOKUP(E222,'Soort voorraad'!A:B,2,FALSE)</f>
        <v>Grijpvoorraad</v>
      </c>
      <c r="B222" t="s">
        <v>321</v>
      </c>
      <c r="C222" t="s">
        <v>322</v>
      </c>
      <c r="D222" t="s">
        <v>323</v>
      </c>
      <c r="E222" t="s">
        <v>531</v>
      </c>
      <c r="F222" t="s">
        <v>532</v>
      </c>
      <c r="G222" t="s">
        <v>2024</v>
      </c>
      <c r="H222">
        <v>50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2.14</v>
      </c>
      <c r="O222" t="s">
        <v>121</v>
      </c>
      <c r="P222">
        <v>0</v>
      </c>
    </row>
    <row r="223" spans="1:16">
      <c r="A223" s="42" t="str">
        <f>VLOOKUP(E223,'Soort voorraad'!A:B,2,FALSE)</f>
        <v>Grijpvoorraad</v>
      </c>
      <c r="B223" t="s">
        <v>321</v>
      </c>
      <c r="C223" t="s">
        <v>322</v>
      </c>
      <c r="D223" t="s">
        <v>323</v>
      </c>
      <c r="E223" t="s">
        <v>533</v>
      </c>
      <c r="F223" t="s">
        <v>534</v>
      </c>
      <c r="G223" t="s">
        <v>2025</v>
      </c>
      <c r="H223">
        <v>50</v>
      </c>
      <c r="I223">
        <v>1</v>
      </c>
      <c r="J223">
        <v>100</v>
      </c>
      <c r="K223">
        <v>0</v>
      </c>
      <c r="L223">
        <v>0</v>
      </c>
      <c r="M223">
        <v>100</v>
      </c>
      <c r="N223">
        <v>2.44</v>
      </c>
      <c r="O223" t="s">
        <v>121</v>
      </c>
      <c r="P223">
        <v>244</v>
      </c>
    </row>
    <row r="224" spans="1:16">
      <c r="A224" s="42" t="str">
        <f>VLOOKUP(E224,'Soort voorraad'!A:B,2,FALSE)</f>
        <v>Grijpvoorraad</v>
      </c>
      <c r="B224" t="s">
        <v>321</v>
      </c>
      <c r="C224" t="s">
        <v>322</v>
      </c>
      <c r="D224" t="s">
        <v>323</v>
      </c>
      <c r="E224" t="s">
        <v>535</v>
      </c>
      <c r="F224" t="s">
        <v>536</v>
      </c>
      <c r="G224" t="s">
        <v>2026</v>
      </c>
      <c r="H224">
        <v>50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0.61</v>
      </c>
      <c r="O224" t="s">
        <v>121</v>
      </c>
      <c r="P224">
        <v>0</v>
      </c>
    </row>
    <row r="225" spans="1:16">
      <c r="A225" s="42" t="str">
        <f>VLOOKUP(E225,'Soort voorraad'!A:B,2,FALSE)</f>
        <v>Grijpvoorraad</v>
      </c>
      <c r="B225" t="s">
        <v>321</v>
      </c>
      <c r="C225" t="s">
        <v>322</v>
      </c>
      <c r="D225" t="s">
        <v>323</v>
      </c>
      <c r="E225" t="s">
        <v>537</v>
      </c>
      <c r="F225" t="s">
        <v>538</v>
      </c>
      <c r="G225" t="s">
        <v>2027</v>
      </c>
      <c r="H225">
        <v>50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0.71</v>
      </c>
      <c r="O225" t="s">
        <v>121</v>
      </c>
      <c r="P225">
        <v>0</v>
      </c>
    </row>
    <row r="226" spans="1:16">
      <c r="A226" s="42" t="str">
        <f>VLOOKUP(E226,'Soort voorraad'!A:B,2,FALSE)</f>
        <v>Grijpvoorraad</v>
      </c>
      <c r="B226" t="s">
        <v>321</v>
      </c>
      <c r="C226" t="s">
        <v>322</v>
      </c>
      <c r="D226" t="s">
        <v>323</v>
      </c>
      <c r="E226" t="s">
        <v>515</v>
      </c>
      <c r="F226" t="s">
        <v>516</v>
      </c>
      <c r="G226" t="s">
        <v>2028</v>
      </c>
      <c r="H226">
        <v>50</v>
      </c>
      <c r="I226">
        <v>10</v>
      </c>
      <c r="J226">
        <v>130</v>
      </c>
      <c r="K226">
        <v>0</v>
      </c>
      <c r="L226">
        <v>0</v>
      </c>
      <c r="M226">
        <v>130</v>
      </c>
      <c r="N226">
        <v>1.88</v>
      </c>
      <c r="O226" t="s">
        <v>121</v>
      </c>
      <c r="P226">
        <v>244.4</v>
      </c>
    </row>
    <row r="227" spans="1:16">
      <c r="A227" s="42" t="str">
        <f>VLOOKUP(E227,'Soort voorraad'!A:B,2,FALSE)</f>
        <v>Grijpvoorraad</v>
      </c>
      <c r="B227" t="s">
        <v>321</v>
      </c>
      <c r="C227" t="s">
        <v>322</v>
      </c>
      <c r="D227" t="s">
        <v>323</v>
      </c>
      <c r="E227" t="s">
        <v>975</v>
      </c>
      <c r="F227" t="s">
        <v>976</v>
      </c>
      <c r="G227" t="s">
        <v>2029</v>
      </c>
      <c r="H227">
        <v>1</v>
      </c>
      <c r="I227">
        <v>0</v>
      </c>
      <c r="J227">
        <v>1</v>
      </c>
      <c r="K227">
        <v>0</v>
      </c>
      <c r="L227">
        <v>0</v>
      </c>
      <c r="M227">
        <v>1</v>
      </c>
      <c r="N227">
        <v>36</v>
      </c>
      <c r="O227" t="s">
        <v>328</v>
      </c>
      <c r="P227">
        <v>36</v>
      </c>
    </row>
    <row r="228" spans="1:16">
      <c r="A228" s="42" t="str">
        <f>VLOOKUP(E228,'Soort voorraad'!A:B,2,FALSE)</f>
        <v>Grijpvoorraad</v>
      </c>
      <c r="B228" t="s">
        <v>321</v>
      </c>
      <c r="C228" t="s">
        <v>322</v>
      </c>
      <c r="D228" t="s">
        <v>323</v>
      </c>
      <c r="E228" t="s">
        <v>971</v>
      </c>
      <c r="F228" t="s">
        <v>972</v>
      </c>
      <c r="G228" t="s">
        <v>2030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21.15</v>
      </c>
      <c r="O228" t="s">
        <v>328</v>
      </c>
      <c r="P228">
        <v>0</v>
      </c>
    </row>
    <row r="229" spans="1:16">
      <c r="A229" s="42" t="str">
        <f>VLOOKUP(E229,'Soort voorraad'!A:B,2,FALSE)</f>
        <v>Grijpvoorraad</v>
      </c>
      <c r="B229" t="s">
        <v>321</v>
      </c>
      <c r="C229" t="s">
        <v>322</v>
      </c>
      <c r="D229" t="s">
        <v>323</v>
      </c>
      <c r="E229" t="s">
        <v>973</v>
      </c>
      <c r="F229" t="s">
        <v>974</v>
      </c>
      <c r="G229" t="s">
        <v>2458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47.13</v>
      </c>
      <c r="O229" t="s">
        <v>328</v>
      </c>
      <c r="P229">
        <v>0</v>
      </c>
    </row>
    <row r="230" spans="1:16">
      <c r="A230" s="42" t="str">
        <f>VLOOKUP(E230,'Soort voorraad'!A:B,2,FALSE)</f>
        <v>Grijpvoorraad</v>
      </c>
      <c r="B230" t="s">
        <v>321</v>
      </c>
      <c r="C230" t="s">
        <v>322</v>
      </c>
      <c r="D230" t="s">
        <v>323</v>
      </c>
      <c r="E230" t="s">
        <v>969</v>
      </c>
      <c r="F230" t="s">
        <v>970</v>
      </c>
      <c r="G230" t="s">
        <v>2031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28.8</v>
      </c>
      <c r="O230" t="s">
        <v>328</v>
      </c>
      <c r="P230">
        <v>0</v>
      </c>
    </row>
    <row r="231" spans="1:16">
      <c r="A231" s="42" t="str">
        <f>VLOOKUP(E231,'Soort voorraad'!A:B,2,FALSE)</f>
        <v>Grijpvoorraad</v>
      </c>
      <c r="B231" t="s">
        <v>321</v>
      </c>
      <c r="C231" t="s">
        <v>322</v>
      </c>
      <c r="D231" t="s">
        <v>323</v>
      </c>
      <c r="E231" t="s">
        <v>517</v>
      </c>
      <c r="F231" t="s">
        <v>518</v>
      </c>
      <c r="G231" t="s">
        <v>2032</v>
      </c>
      <c r="H231">
        <v>50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2.88</v>
      </c>
      <c r="O231" t="s">
        <v>121</v>
      </c>
      <c r="P231">
        <v>0</v>
      </c>
    </row>
    <row r="232" spans="1:16">
      <c r="A232" s="42" t="str">
        <f>VLOOKUP(E232,'Soort voorraad'!A:B,2,FALSE)</f>
        <v>Grijpvoorraad</v>
      </c>
      <c r="B232" t="s">
        <v>321</v>
      </c>
      <c r="C232" t="s">
        <v>322</v>
      </c>
      <c r="D232" t="s">
        <v>323</v>
      </c>
      <c r="E232" t="s">
        <v>327</v>
      </c>
      <c r="F232" t="s">
        <v>1676</v>
      </c>
      <c r="G232" t="s">
        <v>2459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52.47</v>
      </c>
      <c r="O232" t="s">
        <v>328</v>
      </c>
      <c r="P232">
        <v>0</v>
      </c>
    </row>
    <row r="233" spans="1:16">
      <c r="A233" s="42" t="str">
        <f>VLOOKUP(E233,'Soort voorraad'!A:B,2,FALSE)</f>
        <v>Grijpvoorraad</v>
      </c>
      <c r="B233" t="s">
        <v>321</v>
      </c>
      <c r="C233" t="s">
        <v>322</v>
      </c>
      <c r="D233" t="s">
        <v>323</v>
      </c>
      <c r="E233" t="s">
        <v>539</v>
      </c>
      <c r="F233" t="s">
        <v>540</v>
      </c>
      <c r="G233" t="s">
        <v>2460</v>
      </c>
      <c r="H233">
        <v>30</v>
      </c>
      <c r="I233">
        <v>1</v>
      </c>
      <c r="J233">
        <v>60</v>
      </c>
      <c r="K233">
        <v>0</v>
      </c>
      <c r="L233">
        <v>0</v>
      </c>
      <c r="M233">
        <v>60</v>
      </c>
      <c r="N233">
        <v>2.29</v>
      </c>
      <c r="O233" t="s">
        <v>121</v>
      </c>
      <c r="P233">
        <v>137.4</v>
      </c>
    </row>
    <row r="234" spans="1:16">
      <c r="A234" s="42" t="str">
        <f>VLOOKUP(E234,'Soort voorraad'!A:B,2,FALSE)</f>
        <v>Grijpvoorraad</v>
      </c>
      <c r="B234" t="s">
        <v>321</v>
      </c>
      <c r="C234" t="s">
        <v>322</v>
      </c>
      <c r="D234" t="s">
        <v>323</v>
      </c>
      <c r="E234" t="s">
        <v>260</v>
      </c>
      <c r="F234" t="s">
        <v>542</v>
      </c>
      <c r="G234" t="s">
        <v>2461</v>
      </c>
      <c r="H234">
        <v>25</v>
      </c>
      <c r="I234">
        <v>5</v>
      </c>
      <c r="J234">
        <v>28</v>
      </c>
      <c r="K234">
        <v>0</v>
      </c>
      <c r="L234">
        <v>0</v>
      </c>
      <c r="M234">
        <v>28</v>
      </c>
      <c r="N234">
        <v>5.59</v>
      </c>
      <c r="O234" t="s">
        <v>121</v>
      </c>
      <c r="P234">
        <v>156.49</v>
      </c>
    </row>
    <row r="235" spans="1:16">
      <c r="A235" s="42" t="str">
        <f>VLOOKUP(E235,'Soort voorraad'!A:B,2,FALSE)</f>
        <v>Grijpvoorraad</v>
      </c>
      <c r="B235" t="s">
        <v>321</v>
      </c>
      <c r="C235" t="s">
        <v>322</v>
      </c>
      <c r="D235" t="s">
        <v>323</v>
      </c>
      <c r="E235" t="s">
        <v>268</v>
      </c>
      <c r="F235" t="s">
        <v>968</v>
      </c>
      <c r="G235" t="s">
        <v>2462</v>
      </c>
      <c r="H235">
        <v>25</v>
      </c>
      <c r="I235">
        <v>5</v>
      </c>
      <c r="J235">
        <v>25</v>
      </c>
      <c r="K235">
        <v>0</v>
      </c>
      <c r="L235">
        <v>0</v>
      </c>
      <c r="M235">
        <v>25</v>
      </c>
      <c r="N235">
        <v>3.34</v>
      </c>
      <c r="O235" t="s">
        <v>121</v>
      </c>
      <c r="P235">
        <v>83.44</v>
      </c>
    </row>
    <row r="236" spans="1:16">
      <c r="A236" s="42" t="str">
        <f>VLOOKUP(E236,'Soort voorraad'!A:B,2,FALSE)</f>
        <v>Grijpvoorraad</v>
      </c>
      <c r="B236" t="s">
        <v>321</v>
      </c>
      <c r="C236" t="s">
        <v>322</v>
      </c>
      <c r="D236" t="s">
        <v>323</v>
      </c>
      <c r="E236" t="s">
        <v>519</v>
      </c>
      <c r="F236" t="s">
        <v>520</v>
      </c>
      <c r="G236" t="s">
        <v>2033</v>
      </c>
      <c r="H236">
        <v>1</v>
      </c>
      <c r="I236">
        <v>1</v>
      </c>
      <c r="J236">
        <v>2</v>
      </c>
      <c r="K236">
        <v>0</v>
      </c>
      <c r="L236">
        <v>0</v>
      </c>
      <c r="M236">
        <v>2</v>
      </c>
      <c r="N236">
        <v>17.79</v>
      </c>
      <c r="O236" t="s">
        <v>332</v>
      </c>
      <c r="P236">
        <v>35.58</v>
      </c>
    </row>
    <row r="237" spans="1:16">
      <c r="A237" s="42" t="str">
        <f>VLOOKUP(E237,'Soort voorraad'!A:B,2,FALSE)</f>
        <v>Grijpvoorraad</v>
      </c>
      <c r="B237" t="s">
        <v>321</v>
      </c>
      <c r="C237" t="s">
        <v>322</v>
      </c>
      <c r="D237" t="s">
        <v>323</v>
      </c>
      <c r="E237" t="s">
        <v>521</v>
      </c>
      <c r="F237" t="s">
        <v>522</v>
      </c>
      <c r="G237" t="s">
        <v>2034</v>
      </c>
      <c r="H237">
        <v>1</v>
      </c>
      <c r="I237">
        <v>1</v>
      </c>
      <c r="J237">
        <v>2</v>
      </c>
      <c r="K237">
        <v>0</v>
      </c>
      <c r="L237">
        <v>0</v>
      </c>
      <c r="M237">
        <v>2</v>
      </c>
      <c r="N237">
        <v>17.54</v>
      </c>
      <c r="O237" t="s">
        <v>332</v>
      </c>
      <c r="P237">
        <v>35.08</v>
      </c>
    </row>
    <row r="238" spans="1:16">
      <c r="A238" s="42" t="str">
        <f>VLOOKUP(E238,'Soort voorraad'!A:B,2,FALSE)</f>
        <v>Grijpvoorraad</v>
      </c>
      <c r="B238" t="s">
        <v>321</v>
      </c>
      <c r="C238" t="s">
        <v>322</v>
      </c>
      <c r="D238" t="s">
        <v>323</v>
      </c>
      <c r="E238" t="s">
        <v>523</v>
      </c>
      <c r="F238" t="s">
        <v>524</v>
      </c>
      <c r="G238" t="s">
        <v>2035</v>
      </c>
      <c r="H238">
        <v>30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0.62</v>
      </c>
      <c r="O238" t="s">
        <v>121</v>
      </c>
      <c r="P238">
        <v>0</v>
      </c>
    </row>
    <row r="239" spans="1:16">
      <c r="A239" s="42" t="str">
        <f>VLOOKUP(E239,'Soort voorraad'!A:B,2,FALSE)</f>
        <v>Grijpvoorraad</v>
      </c>
      <c r="B239" t="s">
        <v>321</v>
      </c>
      <c r="C239" t="s">
        <v>322</v>
      </c>
      <c r="D239" t="s">
        <v>323</v>
      </c>
      <c r="E239" t="s">
        <v>525</v>
      </c>
      <c r="F239" t="s">
        <v>526</v>
      </c>
      <c r="G239" t="s">
        <v>2036</v>
      </c>
      <c r="H239">
        <v>50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1.34</v>
      </c>
      <c r="O239" t="s">
        <v>121</v>
      </c>
      <c r="P239">
        <v>0</v>
      </c>
    </row>
    <row r="240" spans="1:16">
      <c r="A240" s="42" t="str">
        <f>VLOOKUP(E240,'Soort voorraad'!A:B,2,FALSE)</f>
        <v>Grijpvoorraad</v>
      </c>
      <c r="B240" t="s">
        <v>321</v>
      </c>
      <c r="C240" t="s">
        <v>322</v>
      </c>
      <c r="D240" t="s">
        <v>323</v>
      </c>
      <c r="E240" t="s">
        <v>543</v>
      </c>
      <c r="F240" t="s">
        <v>544</v>
      </c>
      <c r="G240" t="s">
        <v>2037</v>
      </c>
      <c r="H240">
        <v>20</v>
      </c>
      <c r="I240">
        <v>1</v>
      </c>
      <c r="J240">
        <v>10</v>
      </c>
      <c r="K240">
        <v>0</v>
      </c>
      <c r="L240">
        <v>0</v>
      </c>
      <c r="M240">
        <v>10</v>
      </c>
      <c r="N240">
        <v>7.39</v>
      </c>
      <c r="O240" t="s">
        <v>545</v>
      </c>
      <c r="P240">
        <v>73.900000000000006</v>
      </c>
    </row>
    <row r="241" spans="1:16">
      <c r="A241" s="42" t="str">
        <f>VLOOKUP(E241,'Soort voorraad'!A:B,2,FALSE)</f>
        <v>Projectvoorraad</v>
      </c>
      <c r="B241" t="s">
        <v>321</v>
      </c>
      <c r="C241" t="s">
        <v>322</v>
      </c>
      <c r="D241" t="s">
        <v>323</v>
      </c>
      <c r="E241" t="s">
        <v>162</v>
      </c>
      <c r="F241" t="s">
        <v>965</v>
      </c>
      <c r="G241" t="s">
        <v>2038</v>
      </c>
      <c r="H241">
        <v>100</v>
      </c>
      <c r="I241">
        <v>50</v>
      </c>
      <c r="J241">
        <v>247</v>
      </c>
      <c r="K241">
        <v>0</v>
      </c>
      <c r="L241">
        <v>0</v>
      </c>
      <c r="M241">
        <v>247</v>
      </c>
      <c r="N241">
        <v>1.68</v>
      </c>
      <c r="O241" t="s">
        <v>142</v>
      </c>
      <c r="P241">
        <v>413.88</v>
      </c>
    </row>
    <row r="242" spans="1:16">
      <c r="A242" s="42" t="str">
        <f>VLOOKUP(E242,'Soort voorraad'!A:B,2,FALSE)</f>
        <v>Projectvoorraad</v>
      </c>
      <c r="B242" t="s">
        <v>321</v>
      </c>
      <c r="C242" t="s">
        <v>322</v>
      </c>
      <c r="D242" t="s">
        <v>323</v>
      </c>
      <c r="E242" t="s">
        <v>164</v>
      </c>
      <c r="F242" t="s">
        <v>1828</v>
      </c>
      <c r="G242" t="s">
        <v>2039</v>
      </c>
      <c r="H242">
        <v>50</v>
      </c>
      <c r="I242">
        <v>30</v>
      </c>
      <c r="J242">
        <v>100</v>
      </c>
      <c r="K242">
        <v>0</v>
      </c>
      <c r="L242">
        <v>0</v>
      </c>
      <c r="M242">
        <v>100</v>
      </c>
      <c r="N242">
        <v>2.5099999999999998</v>
      </c>
      <c r="O242" t="s">
        <v>142</v>
      </c>
      <c r="P242">
        <v>251.48</v>
      </c>
    </row>
    <row r="243" spans="1:16">
      <c r="A243" s="42" t="str">
        <f>VLOOKUP(E243,'Soort voorraad'!A:B,2,FALSE)</f>
        <v>Projectvoorraad</v>
      </c>
      <c r="B243" t="s">
        <v>321</v>
      </c>
      <c r="C243" t="s">
        <v>322</v>
      </c>
      <c r="D243" t="s">
        <v>323</v>
      </c>
      <c r="E243" t="s">
        <v>154</v>
      </c>
      <c r="F243" t="s">
        <v>558</v>
      </c>
      <c r="G243" t="s">
        <v>2040</v>
      </c>
      <c r="H243">
        <v>2500</v>
      </c>
      <c r="I243">
        <v>1000</v>
      </c>
      <c r="J243">
        <v>3070</v>
      </c>
      <c r="K243">
        <v>0</v>
      </c>
      <c r="L243">
        <v>0</v>
      </c>
      <c r="M243">
        <v>3070</v>
      </c>
      <c r="N243">
        <v>0.56000000000000005</v>
      </c>
      <c r="O243" t="s">
        <v>142</v>
      </c>
      <c r="P243">
        <v>1729.32</v>
      </c>
    </row>
    <row r="244" spans="1:16">
      <c r="A244" s="42" t="str">
        <f>VLOOKUP(E244,'Soort voorraad'!A:B,2,FALSE)</f>
        <v>Projectvoorraad</v>
      </c>
      <c r="B244" t="s">
        <v>321</v>
      </c>
      <c r="C244" t="s">
        <v>322</v>
      </c>
      <c r="D244" t="s">
        <v>323</v>
      </c>
      <c r="E244" t="s">
        <v>156</v>
      </c>
      <c r="F244" t="s">
        <v>559</v>
      </c>
      <c r="G244" t="s">
        <v>2041</v>
      </c>
      <c r="H244">
        <v>200</v>
      </c>
      <c r="I244">
        <v>50</v>
      </c>
      <c r="J244">
        <v>305</v>
      </c>
      <c r="K244">
        <v>0</v>
      </c>
      <c r="L244">
        <v>0</v>
      </c>
      <c r="M244">
        <v>305</v>
      </c>
      <c r="N244">
        <v>0.95</v>
      </c>
      <c r="O244" t="s">
        <v>142</v>
      </c>
      <c r="P244">
        <v>288.92</v>
      </c>
    </row>
    <row r="245" spans="1:16">
      <c r="A245" s="42" t="str">
        <f>VLOOKUP(E245,'Soort voorraad'!A:B,2,FALSE)</f>
        <v>Projectvoorraad</v>
      </c>
      <c r="B245" t="s">
        <v>321</v>
      </c>
      <c r="C245" t="s">
        <v>322</v>
      </c>
      <c r="D245" t="s">
        <v>323</v>
      </c>
      <c r="E245" t="s">
        <v>2479</v>
      </c>
      <c r="F245" t="s">
        <v>2480</v>
      </c>
      <c r="G245" t="s">
        <v>2481</v>
      </c>
      <c r="H245">
        <v>200</v>
      </c>
      <c r="I245">
        <v>100</v>
      </c>
      <c r="J245">
        <v>200</v>
      </c>
      <c r="K245">
        <v>0</v>
      </c>
      <c r="L245">
        <v>0</v>
      </c>
      <c r="M245">
        <v>200</v>
      </c>
      <c r="N245">
        <v>0.95</v>
      </c>
      <c r="O245" t="s">
        <v>142</v>
      </c>
      <c r="P245">
        <v>190.78</v>
      </c>
    </row>
    <row r="246" spans="1:16">
      <c r="A246" s="42" t="str">
        <f>VLOOKUP(E246,'Soort voorraad'!A:B,2,FALSE)</f>
        <v>Projectvoorraad</v>
      </c>
      <c r="B246" t="s">
        <v>321</v>
      </c>
      <c r="C246" t="s">
        <v>322</v>
      </c>
      <c r="D246" t="s">
        <v>323</v>
      </c>
      <c r="E246" t="s">
        <v>157</v>
      </c>
      <c r="F246" t="s">
        <v>1068</v>
      </c>
      <c r="G246" t="s">
        <v>2042</v>
      </c>
      <c r="H246">
        <v>200</v>
      </c>
      <c r="I246">
        <v>100</v>
      </c>
      <c r="J246">
        <v>1000</v>
      </c>
      <c r="K246">
        <v>0</v>
      </c>
      <c r="L246">
        <v>0</v>
      </c>
      <c r="M246">
        <v>1000</v>
      </c>
      <c r="N246">
        <v>1.5</v>
      </c>
      <c r="O246" t="s">
        <v>142</v>
      </c>
      <c r="P246">
        <v>1500</v>
      </c>
    </row>
    <row r="247" spans="1:16">
      <c r="A247" s="42" t="str">
        <f>VLOOKUP(E247,'Soort voorraad'!A:B,2,FALSE)</f>
        <v>Projectvoorraad</v>
      </c>
      <c r="B247" t="s">
        <v>321</v>
      </c>
      <c r="C247" t="s">
        <v>322</v>
      </c>
      <c r="D247" t="s">
        <v>323</v>
      </c>
      <c r="E247" t="s">
        <v>158</v>
      </c>
      <c r="F247" t="s">
        <v>1071</v>
      </c>
      <c r="G247" t="s">
        <v>2043</v>
      </c>
      <c r="H247">
        <v>200</v>
      </c>
      <c r="I247">
        <v>100</v>
      </c>
      <c r="J247">
        <v>1600</v>
      </c>
      <c r="K247">
        <v>0</v>
      </c>
      <c r="L247">
        <v>0</v>
      </c>
      <c r="M247">
        <v>1600</v>
      </c>
      <c r="N247">
        <v>2.5099999999999998</v>
      </c>
      <c r="O247" t="s">
        <v>142</v>
      </c>
      <c r="P247">
        <v>4016</v>
      </c>
    </row>
    <row r="248" spans="1:16">
      <c r="A248" s="42" t="str">
        <f>VLOOKUP(E248,'Soort voorraad'!A:B,2,FALSE)</f>
        <v>Projectvoorraad</v>
      </c>
      <c r="B248" t="s">
        <v>321</v>
      </c>
      <c r="C248" t="s">
        <v>322</v>
      </c>
      <c r="D248" t="s">
        <v>323</v>
      </c>
      <c r="E248" t="s">
        <v>163</v>
      </c>
      <c r="F248" t="s">
        <v>996</v>
      </c>
      <c r="G248" t="s">
        <v>2044</v>
      </c>
      <c r="H248">
        <v>10</v>
      </c>
      <c r="I248">
        <v>5</v>
      </c>
      <c r="J248">
        <v>3.5</v>
      </c>
      <c r="K248">
        <v>0</v>
      </c>
      <c r="L248">
        <v>0</v>
      </c>
      <c r="M248">
        <v>3.5</v>
      </c>
      <c r="N248">
        <v>7.31</v>
      </c>
      <c r="O248" t="s">
        <v>142</v>
      </c>
      <c r="P248">
        <v>25.57</v>
      </c>
    </row>
    <row r="249" spans="1:16">
      <c r="A249" s="42" t="str">
        <f>VLOOKUP(E249,'Soort voorraad'!A:B,2,FALSE)</f>
        <v>Projectvoorraad</v>
      </c>
      <c r="B249" t="s">
        <v>321</v>
      </c>
      <c r="C249" t="s">
        <v>322</v>
      </c>
      <c r="D249" t="s">
        <v>323</v>
      </c>
      <c r="E249" t="s">
        <v>148</v>
      </c>
      <c r="F249" t="s">
        <v>1067</v>
      </c>
      <c r="G249" t="s">
        <v>2045</v>
      </c>
      <c r="H249">
        <v>10000</v>
      </c>
      <c r="I249">
        <v>5000</v>
      </c>
      <c r="J249">
        <v>3951</v>
      </c>
      <c r="K249">
        <v>0</v>
      </c>
      <c r="L249">
        <v>0</v>
      </c>
      <c r="M249">
        <v>3951</v>
      </c>
      <c r="N249">
        <v>1.4</v>
      </c>
      <c r="O249" t="s">
        <v>142</v>
      </c>
      <c r="P249">
        <v>5522.91</v>
      </c>
    </row>
    <row r="250" spans="1:16">
      <c r="A250" s="42" t="str">
        <f>VLOOKUP(E250,'Soort voorraad'!A:B,2,FALSE)</f>
        <v>Projectvoorraad</v>
      </c>
      <c r="B250" t="s">
        <v>321</v>
      </c>
      <c r="C250" t="s">
        <v>322</v>
      </c>
      <c r="D250" t="s">
        <v>323</v>
      </c>
      <c r="E250" t="s">
        <v>252</v>
      </c>
      <c r="F250" t="s">
        <v>560</v>
      </c>
      <c r="G250" t="s">
        <v>2046</v>
      </c>
      <c r="H250">
        <v>25</v>
      </c>
      <c r="I250">
        <v>5</v>
      </c>
      <c r="J250">
        <v>18</v>
      </c>
      <c r="K250">
        <v>0</v>
      </c>
      <c r="L250">
        <v>0</v>
      </c>
      <c r="M250">
        <v>18</v>
      </c>
      <c r="N250">
        <v>6.18</v>
      </c>
      <c r="O250" t="s">
        <v>121</v>
      </c>
      <c r="P250">
        <v>111.24</v>
      </c>
    </row>
    <row r="251" spans="1:16">
      <c r="A251" s="42" t="str">
        <f>VLOOKUP(E251,'Soort voorraad'!A:B,2,FALSE)</f>
        <v>Projectvoorraad</v>
      </c>
      <c r="B251" t="s">
        <v>321</v>
      </c>
      <c r="C251" t="s">
        <v>322</v>
      </c>
      <c r="D251" t="s">
        <v>323</v>
      </c>
      <c r="E251" t="s">
        <v>251</v>
      </c>
      <c r="F251" t="s">
        <v>561</v>
      </c>
      <c r="G251" t="s">
        <v>2047</v>
      </c>
      <c r="H251">
        <v>25</v>
      </c>
      <c r="I251">
        <v>5</v>
      </c>
      <c r="J251">
        <v>7</v>
      </c>
      <c r="K251">
        <v>0</v>
      </c>
      <c r="L251">
        <v>0</v>
      </c>
      <c r="M251">
        <v>7</v>
      </c>
      <c r="N251">
        <v>6.18</v>
      </c>
      <c r="O251" t="s">
        <v>121</v>
      </c>
      <c r="P251">
        <v>43.26</v>
      </c>
    </row>
    <row r="252" spans="1:16">
      <c r="A252" s="42" t="str">
        <f>VLOOKUP(E252,'Soort voorraad'!A:B,2,FALSE)</f>
        <v>Grijpvoorraad</v>
      </c>
      <c r="B252" t="s">
        <v>321</v>
      </c>
      <c r="C252" t="s">
        <v>322</v>
      </c>
      <c r="D252" t="s">
        <v>323</v>
      </c>
      <c r="E252" t="s">
        <v>546</v>
      </c>
      <c r="F252" t="s">
        <v>547</v>
      </c>
      <c r="G252" t="s">
        <v>2048</v>
      </c>
      <c r="H252">
        <v>20</v>
      </c>
      <c r="I252">
        <v>1</v>
      </c>
      <c r="J252">
        <v>20</v>
      </c>
      <c r="K252">
        <v>0</v>
      </c>
      <c r="L252">
        <v>0</v>
      </c>
      <c r="M252">
        <v>20</v>
      </c>
      <c r="N252">
        <v>7.17</v>
      </c>
      <c r="O252" t="s">
        <v>545</v>
      </c>
      <c r="P252">
        <v>143.38</v>
      </c>
    </row>
    <row r="253" spans="1:16">
      <c r="A253" s="42" t="str">
        <f>VLOOKUP(E253,'Soort voorraad'!A:B,2,FALSE)</f>
        <v>Grijpvoorraad</v>
      </c>
      <c r="B253" t="s">
        <v>321</v>
      </c>
      <c r="C253" t="s">
        <v>322</v>
      </c>
      <c r="D253" t="s">
        <v>323</v>
      </c>
      <c r="E253" t="s">
        <v>548</v>
      </c>
      <c r="F253" t="s">
        <v>549</v>
      </c>
      <c r="G253" t="s">
        <v>2049</v>
      </c>
      <c r="H253">
        <v>20</v>
      </c>
      <c r="I253">
        <v>1</v>
      </c>
      <c r="J253">
        <v>5</v>
      </c>
      <c r="K253">
        <v>0</v>
      </c>
      <c r="L253">
        <v>0</v>
      </c>
      <c r="M253">
        <v>5</v>
      </c>
      <c r="N253">
        <v>3.7</v>
      </c>
      <c r="O253" t="s">
        <v>545</v>
      </c>
      <c r="P253">
        <v>18.5</v>
      </c>
    </row>
    <row r="254" spans="1:16">
      <c r="A254" s="42" t="str">
        <f>VLOOKUP(E254,'Soort voorraad'!A:B,2,FALSE)</f>
        <v>Grijpvoorraad</v>
      </c>
      <c r="B254" t="s">
        <v>321</v>
      </c>
      <c r="C254" t="s">
        <v>322</v>
      </c>
      <c r="D254" t="s">
        <v>323</v>
      </c>
      <c r="E254" t="s">
        <v>550</v>
      </c>
      <c r="F254" t="s">
        <v>551</v>
      </c>
      <c r="G254" t="s">
        <v>2050</v>
      </c>
      <c r="H254">
        <v>25</v>
      </c>
      <c r="I254">
        <v>1</v>
      </c>
      <c r="J254">
        <v>25</v>
      </c>
      <c r="K254">
        <v>20</v>
      </c>
      <c r="L254">
        <v>0</v>
      </c>
      <c r="M254">
        <v>45</v>
      </c>
      <c r="N254">
        <v>5.53</v>
      </c>
      <c r="O254" t="s">
        <v>545</v>
      </c>
      <c r="P254">
        <v>138.24</v>
      </c>
    </row>
    <row r="255" spans="1:16">
      <c r="A255" s="42" t="str">
        <f>VLOOKUP(E255,'Soort voorraad'!A:B,2,FALSE)</f>
        <v>Grijpvoorraad</v>
      </c>
      <c r="B255" t="s">
        <v>321</v>
      </c>
      <c r="C255" t="s">
        <v>322</v>
      </c>
      <c r="D255" t="s">
        <v>323</v>
      </c>
      <c r="E255" t="s">
        <v>552</v>
      </c>
      <c r="F255" t="s">
        <v>553</v>
      </c>
      <c r="G255" t="s">
        <v>2051</v>
      </c>
      <c r="H255">
        <v>25</v>
      </c>
      <c r="I255">
        <v>1</v>
      </c>
      <c r="J255">
        <v>7</v>
      </c>
      <c r="K255">
        <v>0</v>
      </c>
      <c r="L255">
        <v>0</v>
      </c>
      <c r="M255">
        <v>7</v>
      </c>
      <c r="N255">
        <v>3.77</v>
      </c>
      <c r="O255" t="s">
        <v>545</v>
      </c>
      <c r="P255">
        <v>26.39</v>
      </c>
    </row>
    <row r="256" spans="1:16">
      <c r="A256" s="42" t="str">
        <f>VLOOKUP(E256,'Soort voorraad'!A:B,2,FALSE)</f>
        <v>Grijpvoorraad</v>
      </c>
      <c r="B256" t="s">
        <v>321</v>
      </c>
      <c r="C256" t="s">
        <v>322</v>
      </c>
      <c r="D256" t="s">
        <v>323</v>
      </c>
      <c r="E256" t="s">
        <v>554</v>
      </c>
      <c r="F256" t="s">
        <v>555</v>
      </c>
      <c r="G256" t="s">
        <v>2052</v>
      </c>
      <c r="H256">
        <v>25</v>
      </c>
      <c r="I256">
        <v>1</v>
      </c>
      <c r="J256">
        <v>25</v>
      </c>
      <c r="K256">
        <v>0</v>
      </c>
      <c r="L256">
        <v>0</v>
      </c>
      <c r="M256">
        <v>25</v>
      </c>
      <c r="N256">
        <v>6.16</v>
      </c>
      <c r="O256" t="s">
        <v>545</v>
      </c>
      <c r="P256">
        <v>153.91</v>
      </c>
    </row>
    <row r="257" spans="1:16">
      <c r="A257" s="42" t="str">
        <f>VLOOKUP(E257,'Soort voorraad'!A:B,2,FALSE)</f>
        <v>Grijpvoorraad</v>
      </c>
      <c r="B257" t="s">
        <v>321</v>
      </c>
      <c r="C257" t="s">
        <v>322</v>
      </c>
      <c r="D257" t="s">
        <v>323</v>
      </c>
      <c r="E257" t="s">
        <v>556</v>
      </c>
      <c r="F257" t="s">
        <v>557</v>
      </c>
      <c r="G257" t="s">
        <v>2053</v>
      </c>
      <c r="H257">
        <v>25</v>
      </c>
      <c r="I257">
        <v>1</v>
      </c>
      <c r="J257">
        <v>25</v>
      </c>
      <c r="K257">
        <v>0</v>
      </c>
      <c r="L257">
        <v>0</v>
      </c>
      <c r="M257">
        <v>25</v>
      </c>
      <c r="N257">
        <v>6.2</v>
      </c>
      <c r="O257" t="s">
        <v>545</v>
      </c>
      <c r="P257">
        <v>155.08000000000001</v>
      </c>
    </row>
    <row r="258" spans="1:16">
      <c r="A258" s="42" t="str">
        <f>VLOOKUP(E258,'Soort voorraad'!A:B,2,FALSE)</f>
        <v>Projectvoorraad</v>
      </c>
      <c r="B258" t="s">
        <v>321</v>
      </c>
      <c r="C258" t="s">
        <v>322</v>
      </c>
      <c r="D258" t="s">
        <v>323</v>
      </c>
      <c r="E258" t="s">
        <v>160</v>
      </c>
      <c r="F258" t="s">
        <v>1069</v>
      </c>
      <c r="G258" t="s">
        <v>2054</v>
      </c>
      <c r="H258">
        <v>2500</v>
      </c>
      <c r="I258">
        <v>1000</v>
      </c>
      <c r="J258">
        <v>914</v>
      </c>
      <c r="K258">
        <v>0</v>
      </c>
      <c r="L258">
        <v>0</v>
      </c>
      <c r="M258">
        <v>914</v>
      </c>
      <c r="N258">
        <v>1.36</v>
      </c>
      <c r="O258" t="s">
        <v>142</v>
      </c>
      <c r="P258">
        <v>1245.4100000000001</v>
      </c>
    </row>
    <row r="259" spans="1:16">
      <c r="A259" s="42" t="str">
        <f>VLOOKUP(E259,'Soort voorraad'!A:B,2,FALSE)</f>
        <v>Projectvoorraad</v>
      </c>
      <c r="B259" t="s">
        <v>321</v>
      </c>
      <c r="C259" t="s">
        <v>322</v>
      </c>
      <c r="D259" t="s">
        <v>323</v>
      </c>
      <c r="E259" t="s">
        <v>2482</v>
      </c>
      <c r="F259" t="s">
        <v>2483</v>
      </c>
      <c r="G259" t="s">
        <v>2054</v>
      </c>
      <c r="H259">
        <v>2500</v>
      </c>
      <c r="I259">
        <v>1000</v>
      </c>
      <c r="J259">
        <v>2500</v>
      </c>
      <c r="K259">
        <v>0</v>
      </c>
      <c r="L259">
        <v>0</v>
      </c>
      <c r="M259">
        <v>2500</v>
      </c>
      <c r="N259">
        <v>1.6</v>
      </c>
      <c r="O259" t="s">
        <v>142</v>
      </c>
      <c r="P259">
        <v>3991.25</v>
      </c>
    </row>
    <row r="260" spans="1:16">
      <c r="A260" s="42" t="str">
        <f>VLOOKUP(E260,'Soort voorraad'!A:B,2,FALSE)</f>
        <v>Projectvoorraad</v>
      </c>
      <c r="B260" t="s">
        <v>321</v>
      </c>
      <c r="C260" t="s">
        <v>322</v>
      </c>
      <c r="D260" t="s">
        <v>323</v>
      </c>
      <c r="E260" t="s">
        <v>161</v>
      </c>
      <c r="F260" t="s">
        <v>1710</v>
      </c>
      <c r="G260" t="s">
        <v>2055</v>
      </c>
      <c r="H260">
        <v>200</v>
      </c>
      <c r="I260">
        <v>50</v>
      </c>
      <c r="J260">
        <v>147</v>
      </c>
      <c r="K260">
        <v>0</v>
      </c>
      <c r="L260">
        <v>0</v>
      </c>
      <c r="M260">
        <v>147</v>
      </c>
      <c r="N260">
        <v>1.48</v>
      </c>
      <c r="O260" t="s">
        <v>142</v>
      </c>
      <c r="P260">
        <v>218.03</v>
      </c>
    </row>
    <row r="261" spans="1:16">
      <c r="A261" s="42" t="str">
        <f>VLOOKUP(E261,'Soort voorraad'!A:B,2,FALSE)</f>
        <v>Projectvoorraad</v>
      </c>
      <c r="B261" t="s">
        <v>321</v>
      </c>
      <c r="C261" t="s">
        <v>322</v>
      </c>
      <c r="D261" t="s">
        <v>323</v>
      </c>
      <c r="E261" t="s">
        <v>159</v>
      </c>
      <c r="F261" t="s">
        <v>1070</v>
      </c>
      <c r="G261" t="s">
        <v>2056</v>
      </c>
      <c r="H261">
        <v>500</v>
      </c>
      <c r="I261">
        <v>200</v>
      </c>
      <c r="J261">
        <v>340</v>
      </c>
      <c r="K261">
        <v>0</v>
      </c>
      <c r="L261">
        <v>0</v>
      </c>
      <c r="M261">
        <v>340</v>
      </c>
      <c r="N261">
        <v>1.27</v>
      </c>
      <c r="O261" t="s">
        <v>142</v>
      </c>
      <c r="P261">
        <v>431.8</v>
      </c>
    </row>
    <row r="262" spans="1:16">
      <c r="A262" s="42" t="str">
        <f>VLOOKUP(E262,'Soort voorraad'!A:B,2,FALSE)</f>
        <v>Grijpvoorraad</v>
      </c>
      <c r="B262" t="s">
        <v>321</v>
      </c>
      <c r="C262" t="s">
        <v>322</v>
      </c>
      <c r="D262" t="s">
        <v>323</v>
      </c>
      <c r="E262" t="s">
        <v>953</v>
      </c>
      <c r="F262" t="s">
        <v>1682</v>
      </c>
      <c r="G262" t="s">
        <v>2057</v>
      </c>
      <c r="H262">
        <v>10</v>
      </c>
      <c r="I262">
        <v>3</v>
      </c>
      <c r="J262">
        <v>10</v>
      </c>
      <c r="K262">
        <v>0</v>
      </c>
      <c r="L262">
        <v>0</v>
      </c>
      <c r="M262">
        <v>10</v>
      </c>
      <c r="N262">
        <v>23.8</v>
      </c>
      <c r="O262" t="s">
        <v>328</v>
      </c>
      <c r="P262">
        <v>237.95</v>
      </c>
    </row>
    <row r="263" spans="1:16">
      <c r="A263" s="42" t="str">
        <f>VLOOKUP(E263,'Soort voorraad'!A:B,2,FALSE)</f>
        <v>Grijpvoorraad</v>
      </c>
      <c r="B263" t="s">
        <v>321</v>
      </c>
      <c r="C263" t="s">
        <v>322</v>
      </c>
      <c r="D263" t="s">
        <v>323</v>
      </c>
      <c r="E263" t="s">
        <v>954</v>
      </c>
      <c r="F263" t="s">
        <v>955</v>
      </c>
      <c r="G263" t="s">
        <v>2058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46.75</v>
      </c>
      <c r="O263" t="s">
        <v>328</v>
      </c>
      <c r="P263">
        <v>0</v>
      </c>
    </row>
    <row r="264" spans="1:16">
      <c r="A264" s="42" t="str">
        <f>VLOOKUP(E264,'Soort voorraad'!A:B,2,FALSE)</f>
        <v>Grijpvoorraad</v>
      </c>
      <c r="B264" t="s">
        <v>321</v>
      </c>
      <c r="C264" t="s">
        <v>322</v>
      </c>
      <c r="D264" t="s">
        <v>323</v>
      </c>
      <c r="E264" t="s">
        <v>956</v>
      </c>
      <c r="F264" t="s">
        <v>1683</v>
      </c>
      <c r="G264" t="s">
        <v>2059</v>
      </c>
      <c r="H264">
        <v>10</v>
      </c>
      <c r="I264">
        <v>3</v>
      </c>
      <c r="J264">
        <v>7</v>
      </c>
      <c r="K264">
        <v>0</v>
      </c>
      <c r="L264">
        <v>0</v>
      </c>
      <c r="M264">
        <v>7</v>
      </c>
      <c r="N264">
        <v>28.35</v>
      </c>
      <c r="O264" t="s">
        <v>328</v>
      </c>
      <c r="P264">
        <v>198.45</v>
      </c>
    </row>
    <row r="265" spans="1:16">
      <c r="A265" s="42" t="str">
        <f>VLOOKUP(E265,'Soort voorraad'!A:B,2,FALSE)</f>
        <v>Grijpvoorraad</v>
      </c>
      <c r="B265" t="s">
        <v>321</v>
      </c>
      <c r="C265" t="s">
        <v>322</v>
      </c>
      <c r="D265" t="s">
        <v>323</v>
      </c>
      <c r="E265" t="s">
        <v>957</v>
      </c>
      <c r="F265" t="s">
        <v>958</v>
      </c>
      <c r="G265" t="s">
        <v>2060</v>
      </c>
      <c r="H265">
        <v>1</v>
      </c>
      <c r="I265">
        <v>1</v>
      </c>
      <c r="J265">
        <v>1</v>
      </c>
      <c r="K265">
        <v>0</v>
      </c>
      <c r="L265">
        <v>0</v>
      </c>
      <c r="M265">
        <v>1</v>
      </c>
      <c r="N265">
        <v>24.02</v>
      </c>
      <c r="O265" t="s">
        <v>328</v>
      </c>
      <c r="P265">
        <v>24.02</v>
      </c>
    </row>
    <row r="266" spans="1:16">
      <c r="A266" s="42" t="str">
        <f>VLOOKUP(E266,'Soort voorraad'!A:B,2,FALSE)</f>
        <v>Grijpvoorraad</v>
      </c>
      <c r="B266" t="s">
        <v>321</v>
      </c>
      <c r="C266" t="s">
        <v>322</v>
      </c>
      <c r="D266" t="s">
        <v>323</v>
      </c>
      <c r="E266" t="s">
        <v>959</v>
      </c>
      <c r="F266" t="s">
        <v>960</v>
      </c>
      <c r="G266" t="s">
        <v>2061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19.05</v>
      </c>
      <c r="O266" t="s">
        <v>328</v>
      </c>
      <c r="P266">
        <v>0</v>
      </c>
    </row>
    <row r="267" spans="1:16">
      <c r="A267" s="42" t="str">
        <f>VLOOKUP(E267,'Soort voorraad'!A:B,2,FALSE)</f>
        <v>Grijpvoorraad</v>
      </c>
      <c r="B267" t="s">
        <v>321</v>
      </c>
      <c r="C267" t="s">
        <v>322</v>
      </c>
      <c r="D267" t="s">
        <v>323</v>
      </c>
      <c r="E267" t="s">
        <v>618</v>
      </c>
      <c r="F267" t="s">
        <v>619</v>
      </c>
      <c r="G267" t="s">
        <v>2062</v>
      </c>
      <c r="H267">
        <v>5</v>
      </c>
      <c r="I267">
        <v>1</v>
      </c>
      <c r="J267">
        <v>5</v>
      </c>
      <c r="K267">
        <v>0</v>
      </c>
      <c r="L267">
        <v>0</v>
      </c>
      <c r="M267">
        <v>5</v>
      </c>
      <c r="N267">
        <v>3.21</v>
      </c>
      <c r="O267" t="s">
        <v>545</v>
      </c>
      <c r="P267">
        <v>16.05</v>
      </c>
    </row>
    <row r="268" spans="1:16">
      <c r="A268" s="42" t="str">
        <f>VLOOKUP(E268,'Soort voorraad'!A:B,2,FALSE)</f>
        <v>Grijpvoorraad</v>
      </c>
      <c r="B268" t="s">
        <v>321</v>
      </c>
      <c r="C268" t="s">
        <v>322</v>
      </c>
      <c r="D268" t="s">
        <v>323</v>
      </c>
      <c r="E268" t="s">
        <v>592</v>
      </c>
      <c r="F268" t="s">
        <v>593</v>
      </c>
      <c r="G268" t="s">
        <v>2063</v>
      </c>
      <c r="H268">
        <v>5</v>
      </c>
      <c r="I268">
        <v>1</v>
      </c>
      <c r="J268">
        <v>10</v>
      </c>
      <c r="K268">
        <v>0</v>
      </c>
      <c r="L268">
        <v>0</v>
      </c>
      <c r="M268">
        <v>10</v>
      </c>
      <c r="N268">
        <v>4.45</v>
      </c>
      <c r="O268" t="s">
        <v>545</v>
      </c>
      <c r="P268">
        <v>44.5</v>
      </c>
    </row>
    <row r="269" spans="1:16">
      <c r="A269" s="42" t="str">
        <f>VLOOKUP(E269,'Soort voorraad'!A:B,2,FALSE)</f>
        <v>Grijpvoorraad</v>
      </c>
      <c r="B269" t="s">
        <v>321</v>
      </c>
      <c r="C269" t="s">
        <v>322</v>
      </c>
      <c r="D269" t="s">
        <v>323</v>
      </c>
      <c r="E269" t="s">
        <v>562</v>
      </c>
      <c r="F269" t="s">
        <v>563</v>
      </c>
      <c r="G269" t="s">
        <v>2064</v>
      </c>
      <c r="H269">
        <v>10</v>
      </c>
      <c r="I269">
        <v>1</v>
      </c>
      <c r="J269">
        <v>5</v>
      </c>
      <c r="K269">
        <v>0</v>
      </c>
      <c r="L269">
        <v>0</v>
      </c>
      <c r="M269">
        <v>5</v>
      </c>
      <c r="N269">
        <v>5.49</v>
      </c>
      <c r="O269" t="s">
        <v>545</v>
      </c>
      <c r="P269">
        <v>27.45</v>
      </c>
    </row>
    <row r="270" spans="1:16">
      <c r="A270" s="42" t="str">
        <f>VLOOKUP(E270,'Soort voorraad'!A:B,2,FALSE)</f>
        <v>Grijpvoorraad</v>
      </c>
      <c r="B270" t="s">
        <v>321</v>
      </c>
      <c r="C270" t="s">
        <v>322</v>
      </c>
      <c r="D270" t="s">
        <v>323</v>
      </c>
      <c r="E270" t="s">
        <v>564</v>
      </c>
      <c r="F270" t="s">
        <v>565</v>
      </c>
      <c r="G270" t="s">
        <v>2065</v>
      </c>
      <c r="H270">
        <v>10</v>
      </c>
      <c r="I270">
        <v>1</v>
      </c>
      <c r="J270">
        <v>20</v>
      </c>
      <c r="K270">
        <v>0</v>
      </c>
      <c r="L270">
        <v>0</v>
      </c>
      <c r="M270">
        <v>20</v>
      </c>
      <c r="N270">
        <v>6.45</v>
      </c>
      <c r="O270" t="s">
        <v>545</v>
      </c>
      <c r="P270">
        <v>128.96</v>
      </c>
    </row>
    <row r="271" spans="1:16">
      <c r="A271" s="42" t="str">
        <f>VLOOKUP(E271,'Soort voorraad'!A:B,2,FALSE)</f>
        <v>Grijpvoorraad</v>
      </c>
      <c r="B271" t="s">
        <v>321</v>
      </c>
      <c r="C271" t="s">
        <v>322</v>
      </c>
      <c r="D271" t="s">
        <v>323</v>
      </c>
      <c r="E271" t="s">
        <v>566</v>
      </c>
      <c r="F271" t="s">
        <v>567</v>
      </c>
      <c r="G271" t="s">
        <v>2066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8.9499999999999993</v>
      </c>
      <c r="O271" t="s">
        <v>545</v>
      </c>
      <c r="P271">
        <v>0</v>
      </c>
    </row>
    <row r="272" spans="1:16">
      <c r="A272" s="42" t="str">
        <f>VLOOKUP(E272,'Soort voorraad'!A:B,2,FALSE)</f>
        <v>Grijpvoorraad</v>
      </c>
      <c r="B272" t="s">
        <v>321</v>
      </c>
      <c r="C272" t="s">
        <v>322</v>
      </c>
      <c r="D272" t="s">
        <v>323</v>
      </c>
      <c r="E272" t="s">
        <v>568</v>
      </c>
      <c r="F272" t="s">
        <v>569</v>
      </c>
      <c r="G272" t="s">
        <v>2067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1.98</v>
      </c>
      <c r="O272" t="s">
        <v>545</v>
      </c>
      <c r="P272">
        <v>0</v>
      </c>
    </row>
    <row r="273" spans="1:16">
      <c r="A273" s="42" t="str">
        <f>VLOOKUP(E273,'Soort voorraad'!A:B,2,FALSE)</f>
        <v>Grijpvoorraad</v>
      </c>
      <c r="B273" t="s">
        <v>321</v>
      </c>
      <c r="C273" t="s">
        <v>322</v>
      </c>
      <c r="D273" t="s">
        <v>323</v>
      </c>
      <c r="E273" t="s">
        <v>570</v>
      </c>
      <c r="F273" t="s">
        <v>571</v>
      </c>
      <c r="G273" t="s">
        <v>2068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1.63</v>
      </c>
      <c r="O273" t="s">
        <v>545</v>
      </c>
      <c r="P273">
        <v>0</v>
      </c>
    </row>
    <row r="274" spans="1:16">
      <c r="A274" s="42" t="str">
        <f>VLOOKUP(E274,'Soort voorraad'!A:B,2,FALSE)</f>
        <v>Grijpvoorraad</v>
      </c>
      <c r="B274" t="s">
        <v>321</v>
      </c>
      <c r="C274" t="s">
        <v>322</v>
      </c>
      <c r="D274" t="s">
        <v>323</v>
      </c>
      <c r="E274" t="s">
        <v>572</v>
      </c>
      <c r="F274" t="s">
        <v>573</v>
      </c>
      <c r="G274" t="s">
        <v>2069</v>
      </c>
      <c r="H274">
        <v>24</v>
      </c>
      <c r="I274">
        <v>2</v>
      </c>
      <c r="J274">
        <v>7</v>
      </c>
      <c r="K274">
        <v>0</v>
      </c>
      <c r="L274">
        <v>0</v>
      </c>
      <c r="M274">
        <v>7</v>
      </c>
      <c r="N274">
        <v>82</v>
      </c>
      <c r="O274" t="s">
        <v>328</v>
      </c>
      <c r="P274">
        <v>574</v>
      </c>
    </row>
    <row r="275" spans="1:16">
      <c r="A275" s="42" t="str">
        <f>VLOOKUP(E275,'Soort voorraad'!A:B,2,FALSE)</f>
        <v>Grijpvoorraad</v>
      </c>
      <c r="B275" t="s">
        <v>321</v>
      </c>
      <c r="C275" t="s">
        <v>322</v>
      </c>
      <c r="D275" t="s">
        <v>323</v>
      </c>
      <c r="E275" t="s">
        <v>580</v>
      </c>
      <c r="F275" t="s">
        <v>581</v>
      </c>
      <c r="G275" t="s">
        <v>2070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25.03</v>
      </c>
      <c r="O275" t="s">
        <v>326</v>
      </c>
      <c r="P275">
        <v>0</v>
      </c>
    </row>
    <row r="276" spans="1:16">
      <c r="A276" s="42" t="str">
        <f>VLOOKUP(E276,'Soort voorraad'!A:B,2,FALSE)</f>
        <v>Projectvoorraad</v>
      </c>
      <c r="B276" t="s">
        <v>321</v>
      </c>
      <c r="C276" t="s">
        <v>322</v>
      </c>
      <c r="D276" t="s">
        <v>323</v>
      </c>
      <c r="E276" t="s">
        <v>152</v>
      </c>
      <c r="F276" t="s">
        <v>1000</v>
      </c>
      <c r="G276" t="s">
        <v>2071</v>
      </c>
      <c r="H276">
        <v>500</v>
      </c>
      <c r="I276">
        <v>200</v>
      </c>
      <c r="J276">
        <v>204</v>
      </c>
      <c r="K276">
        <v>0</v>
      </c>
      <c r="L276">
        <v>0</v>
      </c>
      <c r="M276">
        <v>204</v>
      </c>
      <c r="N276">
        <v>0.47</v>
      </c>
      <c r="O276" t="s">
        <v>142</v>
      </c>
      <c r="P276">
        <v>95.88</v>
      </c>
    </row>
    <row r="277" spans="1:16">
      <c r="A277" s="42" t="str">
        <f>VLOOKUP(E277,'Soort voorraad'!A:B,2,FALSE)</f>
        <v>Grijpvoorraad</v>
      </c>
      <c r="B277" t="s">
        <v>321</v>
      </c>
      <c r="C277" t="s">
        <v>322</v>
      </c>
      <c r="D277" t="s">
        <v>323</v>
      </c>
      <c r="E277" t="s">
        <v>574</v>
      </c>
      <c r="F277" t="s">
        <v>575</v>
      </c>
      <c r="G277" t="s">
        <v>2072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1.82</v>
      </c>
      <c r="O277" t="s">
        <v>326</v>
      </c>
      <c r="P277">
        <v>0</v>
      </c>
    </row>
    <row r="278" spans="1:16">
      <c r="A278" s="42" t="str">
        <f>VLOOKUP(E278,'Soort voorraad'!A:B,2,FALSE)</f>
        <v>Grijpvoorraad</v>
      </c>
      <c r="B278" t="s">
        <v>321</v>
      </c>
      <c r="C278" t="s">
        <v>322</v>
      </c>
      <c r="D278" t="s">
        <v>323</v>
      </c>
      <c r="E278" t="s">
        <v>987</v>
      </c>
      <c r="F278" t="s">
        <v>988</v>
      </c>
      <c r="G278" t="s">
        <v>2073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93.02</v>
      </c>
      <c r="O278" t="s">
        <v>326</v>
      </c>
      <c r="P278">
        <v>0</v>
      </c>
    </row>
    <row r="279" spans="1:16">
      <c r="A279" s="42" t="str">
        <f>VLOOKUP(E279,'Soort voorraad'!A:B,2,FALSE)</f>
        <v>Grijpvoorraad</v>
      </c>
      <c r="B279" t="s">
        <v>321</v>
      </c>
      <c r="C279" t="s">
        <v>322</v>
      </c>
      <c r="D279" t="s">
        <v>323</v>
      </c>
      <c r="E279" t="s">
        <v>576</v>
      </c>
      <c r="F279" t="s">
        <v>577</v>
      </c>
      <c r="G279" t="s">
        <v>2074</v>
      </c>
      <c r="H279">
        <v>10</v>
      </c>
      <c r="I279">
        <v>3</v>
      </c>
      <c r="J279">
        <v>12</v>
      </c>
      <c r="K279">
        <v>0</v>
      </c>
      <c r="L279">
        <v>0</v>
      </c>
      <c r="M279">
        <v>12</v>
      </c>
      <c r="N279">
        <v>24.38</v>
      </c>
      <c r="O279" t="s">
        <v>326</v>
      </c>
      <c r="P279">
        <v>292.61</v>
      </c>
    </row>
    <row r="280" spans="1:16">
      <c r="A280" s="42" t="str">
        <f>VLOOKUP(E280,'Soort voorraad'!A:B,2,FALSE)</f>
        <v>Grijpvoorraad</v>
      </c>
      <c r="B280" t="s">
        <v>321</v>
      </c>
      <c r="C280" t="s">
        <v>322</v>
      </c>
      <c r="D280" t="s">
        <v>323</v>
      </c>
      <c r="E280" t="s">
        <v>578</v>
      </c>
      <c r="F280" t="s">
        <v>579</v>
      </c>
      <c r="G280" t="s">
        <v>2075</v>
      </c>
      <c r="H280">
        <v>5</v>
      </c>
      <c r="I280">
        <v>2</v>
      </c>
      <c r="J280">
        <v>5</v>
      </c>
      <c r="K280">
        <v>0</v>
      </c>
      <c r="L280">
        <v>0</v>
      </c>
      <c r="M280">
        <v>5</v>
      </c>
      <c r="N280">
        <v>23.7</v>
      </c>
      <c r="O280" t="s">
        <v>326</v>
      </c>
      <c r="P280">
        <v>118.5</v>
      </c>
    </row>
    <row r="281" spans="1:16">
      <c r="A281" s="42" t="str">
        <f>VLOOKUP(E281,'Soort voorraad'!A:B,2,FALSE)</f>
        <v>Projectvoorraad</v>
      </c>
      <c r="B281" t="s">
        <v>321</v>
      </c>
      <c r="C281" t="s">
        <v>322</v>
      </c>
      <c r="D281" t="s">
        <v>323</v>
      </c>
      <c r="E281" t="s">
        <v>153</v>
      </c>
      <c r="F281" t="s">
        <v>1001</v>
      </c>
      <c r="G281" t="s">
        <v>2076</v>
      </c>
      <c r="H281">
        <v>500</v>
      </c>
      <c r="I281">
        <v>150</v>
      </c>
      <c r="J281">
        <v>232</v>
      </c>
      <c r="K281">
        <v>0</v>
      </c>
      <c r="L281">
        <v>0</v>
      </c>
      <c r="M281">
        <v>232</v>
      </c>
      <c r="N281">
        <v>1.06</v>
      </c>
      <c r="O281" t="s">
        <v>142</v>
      </c>
      <c r="P281">
        <v>245.33</v>
      </c>
    </row>
    <row r="282" spans="1:16">
      <c r="A282" s="42" t="str">
        <f>VLOOKUP(E282,'Soort voorraad'!A:B,2,FALSE)</f>
        <v>Grijpvoorraad</v>
      </c>
      <c r="B282" t="s">
        <v>321</v>
      </c>
      <c r="C282" t="s">
        <v>322</v>
      </c>
      <c r="D282" t="s">
        <v>323</v>
      </c>
      <c r="E282" t="s">
        <v>997</v>
      </c>
      <c r="F282" t="s">
        <v>998</v>
      </c>
      <c r="G282" t="s">
        <v>2077</v>
      </c>
      <c r="H282">
        <v>30</v>
      </c>
      <c r="I282">
        <v>10</v>
      </c>
      <c r="J282">
        <v>25</v>
      </c>
      <c r="K282">
        <v>0</v>
      </c>
      <c r="L282">
        <v>0</v>
      </c>
      <c r="M282">
        <v>25</v>
      </c>
      <c r="N282">
        <v>0.61</v>
      </c>
      <c r="O282" t="s">
        <v>121</v>
      </c>
      <c r="P282">
        <v>15.25</v>
      </c>
    </row>
    <row r="283" spans="1:16">
      <c r="A283" s="42" t="str">
        <f>VLOOKUP(E283,'Soort voorraad'!A:B,2,FALSE)</f>
        <v>Grijpvoorraad</v>
      </c>
      <c r="B283" t="s">
        <v>321</v>
      </c>
      <c r="C283" t="s">
        <v>322</v>
      </c>
      <c r="D283" t="s">
        <v>323</v>
      </c>
      <c r="E283" t="s">
        <v>582</v>
      </c>
      <c r="F283" t="s">
        <v>583</v>
      </c>
      <c r="G283" t="s">
        <v>2078</v>
      </c>
      <c r="H283">
        <v>10</v>
      </c>
      <c r="I283">
        <v>3</v>
      </c>
      <c r="J283">
        <v>9</v>
      </c>
      <c r="K283">
        <v>0</v>
      </c>
      <c r="L283">
        <v>0</v>
      </c>
      <c r="M283">
        <v>9</v>
      </c>
      <c r="N283">
        <v>10.26</v>
      </c>
      <c r="O283" t="s">
        <v>121</v>
      </c>
      <c r="P283">
        <v>92.35</v>
      </c>
    </row>
    <row r="284" spans="1:16">
      <c r="A284" s="42" t="str">
        <f>VLOOKUP(E284,'Soort voorraad'!A:B,2,FALSE)</f>
        <v>Grijpvoorraad</v>
      </c>
      <c r="B284" t="s">
        <v>321</v>
      </c>
      <c r="C284" t="s">
        <v>322</v>
      </c>
      <c r="D284" t="s">
        <v>323</v>
      </c>
      <c r="E284" t="s">
        <v>598</v>
      </c>
      <c r="F284" t="s">
        <v>599</v>
      </c>
      <c r="G284" t="s">
        <v>2079</v>
      </c>
      <c r="H284">
        <v>10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8.06</v>
      </c>
      <c r="O284" t="s">
        <v>121</v>
      </c>
      <c r="P284">
        <v>0</v>
      </c>
    </row>
    <row r="285" spans="1:16">
      <c r="A285" s="42" t="str">
        <f>VLOOKUP(E285,'Soort voorraad'!A:B,2,FALSE)</f>
        <v>Grijpvoorraad</v>
      </c>
      <c r="B285" t="s">
        <v>321</v>
      </c>
      <c r="C285" t="s">
        <v>322</v>
      </c>
      <c r="D285" t="s">
        <v>323</v>
      </c>
      <c r="E285" t="s">
        <v>600</v>
      </c>
      <c r="F285" t="s">
        <v>601</v>
      </c>
      <c r="G285" t="s">
        <v>2080</v>
      </c>
      <c r="H285">
        <v>20</v>
      </c>
      <c r="I285">
        <v>5</v>
      </c>
      <c r="J285">
        <v>20</v>
      </c>
      <c r="K285">
        <v>0</v>
      </c>
      <c r="L285">
        <v>0</v>
      </c>
      <c r="M285">
        <v>20</v>
      </c>
      <c r="N285">
        <v>1.86</v>
      </c>
      <c r="O285" t="s">
        <v>121</v>
      </c>
      <c r="P285">
        <v>37.28</v>
      </c>
    </row>
    <row r="286" spans="1:16">
      <c r="A286" s="42" t="str">
        <f>VLOOKUP(E286,'Soort voorraad'!A:B,2,FALSE)</f>
        <v>Grijpvoorraad</v>
      </c>
      <c r="B286" t="s">
        <v>321</v>
      </c>
      <c r="C286" t="s">
        <v>322</v>
      </c>
      <c r="D286" t="s">
        <v>323</v>
      </c>
      <c r="E286" t="s">
        <v>602</v>
      </c>
      <c r="F286" t="s">
        <v>603</v>
      </c>
      <c r="G286" t="s">
        <v>2081</v>
      </c>
      <c r="H286">
        <v>20</v>
      </c>
      <c r="I286">
        <v>5</v>
      </c>
      <c r="J286">
        <v>20</v>
      </c>
      <c r="K286">
        <v>0</v>
      </c>
      <c r="L286">
        <v>0</v>
      </c>
      <c r="M286">
        <v>20</v>
      </c>
      <c r="N286">
        <v>0.82</v>
      </c>
      <c r="O286" t="s">
        <v>121</v>
      </c>
      <c r="P286">
        <v>16.440000000000001</v>
      </c>
    </row>
    <row r="287" spans="1:16">
      <c r="A287" s="42" t="str">
        <f>VLOOKUP(E287,'Soort voorraad'!A:B,2,FALSE)</f>
        <v>Grijpvoorraad</v>
      </c>
      <c r="B287" t="s">
        <v>321</v>
      </c>
      <c r="C287" t="s">
        <v>322</v>
      </c>
      <c r="D287" t="s">
        <v>323</v>
      </c>
      <c r="E287" t="s">
        <v>584</v>
      </c>
      <c r="F287" t="s">
        <v>585</v>
      </c>
      <c r="G287" t="s">
        <v>2082</v>
      </c>
      <c r="H287">
        <v>1</v>
      </c>
      <c r="I287">
        <v>1</v>
      </c>
      <c r="J287">
        <v>0</v>
      </c>
      <c r="K287">
        <v>1</v>
      </c>
      <c r="L287">
        <v>0</v>
      </c>
      <c r="M287">
        <v>1</v>
      </c>
      <c r="N287">
        <v>9.44</v>
      </c>
      <c r="O287" t="s">
        <v>121</v>
      </c>
      <c r="P287">
        <v>0</v>
      </c>
    </row>
    <row r="288" spans="1:16">
      <c r="A288" s="42" t="str">
        <f>VLOOKUP(E288,'Soort voorraad'!A:B,2,FALSE)</f>
        <v>Grijpvoorraad</v>
      </c>
      <c r="B288" t="s">
        <v>321</v>
      </c>
      <c r="C288" t="s">
        <v>322</v>
      </c>
      <c r="D288" t="s">
        <v>323</v>
      </c>
      <c r="E288" t="s">
        <v>586</v>
      </c>
      <c r="F288" t="s">
        <v>587</v>
      </c>
      <c r="G288" t="s">
        <v>2083</v>
      </c>
      <c r="H288">
        <v>12</v>
      </c>
      <c r="I288">
        <v>3</v>
      </c>
      <c r="J288">
        <v>5</v>
      </c>
      <c r="K288">
        <v>0</v>
      </c>
      <c r="L288">
        <v>0</v>
      </c>
      <c r="M288">
        <v>5</v>
      </c>
      <c r="N288">
        <v>5.18</v>
      </c>
      <c r="O288" t="s">
        <v>121</v>
      </c>
      <c r="P288">
        <v>25.92</v>
      </c>
    </row>
    <row r="289" spans="1:16">
      <c r="A289" s="42" t="str">
        <f>VLOOKUP(E289,'Soort voorraad'!A:B,2,FALSE)</f>
        <v>Grijpvoorraad</v>
      </c>
      <c r="B289" t="s">
        <v>321</v>
      </c>
      <c r="C289" t="s">
        <v>322</v>
      </c>
      <c r="D289" t="s">
        <v>323</v>
      </c>
      <c r="E289" t="s">
        <v>588</v>
      </c>
      <c r="F289" t="s">
        <v>589</v>
      </c>
      <c r="G289" t="s">
        <v>2084</v>
      </c>
      <c r="H289">
        <v>6</v>
      </c>
      <c r="I289">
        <v>1</v>
      </c>
      <c r="J289">
        <v>10</v>
      </c>
      <c r="K289">
        <v>0</v>
      </c>
      <c r="L289">
        <v>0</v>
      </c>
      <c r="M289">
        <v>10</v>
      </c>
      <c r="N289">
        <v>11.44</v>
      </c>
      <c r="O289" t="s">
        <v>121</v>
      </c>
      <c r="P289">
        <v>114.4</v>
      </c>
    </row>
    <row r="290" spans="1:16">
      <c r="A290" s="42" t="str">
        <f>VLOOKUP(E290,'Soort voorraad'!A:B,2,FALSE)</f>
        <v>Grijpvoorraad</v>
      </c>
      <c r="B290" t="s">
        <v>321</v>
      </c>
      <c r="C290" t="s">
        <v>322</v>
      </c>
      <c r="D290" t="s">
        <v>323</v>
      </c>
      <c r="E290" t="s">
        <v>590</v>
      </c>
      <c r="F290" t="s">
        <v>591</v>
      </c>
      <c r="G290" t="s">
        <v>2085</v>
      </c>
      <c r="H290">
        <v>1</v>
      </c>
      <c r="I290">
        <v>1</v>
      </c>
      <c r="J290">
        <v>1</v>
      </c>
      <c r="K290">
        <v>0</v>
      </c>
      <c r="L290">
        <v>0</v>
      </c>
      <c r="M290">
        <v>1</v>
      </c>
      <c r="N290">
        <v>32.53</v>
      </c>
      <c r="O290" t="s">
        <v>326</v>
      </c>
      <c r="P290">
        <v>32.53</v>
      </c>
    </row>
    <row r="291" spans="1:16">
      <c r="A291" s="42" t="str">
        <f>VLOOKUP(E291,'Soort voorraad'!A:B,2,FALSE)</f>
        <v>Grijpvoorraad</v>
      </c>
      <c r="B291" t="s">
        <v>321</v>
      </c>
      <c r="C291" t="s">
        <v>322</v>
      </c>
      <c r="D291" t="s">
        <v>323</v>
      </c>
      <c r="E291" t="s">
        <v>594</v>
      </c>
      <c r="F291" t="s">
        <v>595</v>
      </c>
      <c r="G291" t="s">
        <v>2086</v>
      </c>
      <c r="H291">
        <v>1</v>
      </c>
      <c r="I291">
        <v>1</v>
      </c>
      <c r="J291">
        <v>2</v>
      </c>
      <c r="K291">
        <v>0</v>
      </c>
      <c r="L291">
        <v>0</v>
      </c>
      <c r="M291">
        <v>2</v>
      </c>
      <c r="N291">
        <v>5.39</v>
      </c>
      <c r="O291" t="s">
        <v>332</v>
      </c>
      <c r="P291">
        <v>10.78</v>
      </c>
    </row>
    <row r="292" spans="1:16">
      <c r="A292" s="42" t="str">
        <f>VLOOKUP(E292,'Soort voorraad'!A:B,2,FALSE)</f>
        <v>Grijpvoorraad</v>
      </c>
      <c r="B292" t="s">
        <v>321</v>
      </c>
      <c r="C292" t="s">
        <v>322</v>
      </c>
      <c r="D292" t="s">
        <v>323</v>
      </c>
      <c r="E292" t="s">
        <v>596</v>
      </c>
      <c r="F292" t="s">
        <v>597</v>
      </c>
      <c r="G292" t="s">
        <v>2087</v>
      </c>
      <c r="H292">
        <v>0</v>
      </c>
      <c r="I292">
        <v>0</v>
      </c>
      <c r="J292">
        <v>9</v>
      </c>
      <c r="K292">
        <v>0</v>
      </c>
      <c r="L292">
        <v>0</v>
      </c>
      <c r="M292">
        <v>9</v>
      </c>
      <c r="N292">
        <v>15</v>
      </c>
      <c r="O292" t="s">
        <v>328</v>
      </c>
      <c r="P292">
        <v>135</v>
      </c>
    </row>
    <row r="293" spans="1:16">
      <c r="A293" s="42" t="str">
        <f>VLOOKUP(E293,'Soort voorraad'!A:B,2,FALSE)</f>
        <v>Grijpvoorraad</v>
      </c>
      <c r="B293" t="s">
        <v>321</v>
      </c>
      <c r="C293" t="s">
        <v>322</v>
      </c>
      <c r="D293" t="s">
        <v>323</v>
      </c>
      <c r="E293" t="s">
        <v>604</v>
      </c>
      <c r="F293" t="s">
        <v>605</v>
      </c>
      <c r="G293" t="s">
        <v>2088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14.58</v>
      </c>
      <c r="O293" t="s">
        <v>121</v>
      </c>
      <c r="P293">
        <v>0</v>
      </c>
    </row>
    <row r="294" spans="1:16">
      <c r="A294" s="42" t="str">
        <f>VLOOKUP(E294,'Soort voorraad'!A:B,2,FALSE)</f>
        <v>Grijpvoorraad</v>
      </c>
      <c r="B294" t="s">
        <v>321</v>
      </c>
      <c r="C294" t="s">
        <v>322</v>
      </c>
      <c r="D294" t="s">
        <v>323</v>
      </c>
      <c r="E294" t="s">
        <v>620</v>
      </c>
      <c r="F294" t="s">
        <v>621</v>
      </c>
      <c r="G294" t="s">
        <v>2089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12.54</v>
      </c>
      <c r="O294" t="s">
        <v>121</v>
      </c>
      <c r="P294">
        <v>0</v>
      </c>
    </row>
    <row r="295" spans="1:16">
      <c r="A295" s="42" t="str">
        <f>VLOOKUP(E295,'Soort voorraad'!A:B,2,FALSE)</f>
        <v>Grijpvoorraad</v>
      </c>
      <c r="B295" t="s">
        <v>321</v>
      </c>
      <c r="C295" t="s">
        <v>322</v>
      </c>
      <c r="D295" t="s">
        <v>323</v>
      </c>
      <c r="E295" t="s">
        <v>622</v>
      </c>
      <c r="F295" t="s">
        <v>623</v>
      </c>
      <c r="G295" t="s">
        <v>2090</v>
      </c>
      <c r="H295">
        <v>1</v>
      </c>
      <c r="I295">
        <v>1</v>
      </c>
      <c r="J295">
        <v>1</v>
      </c>
      <c r="K295">
        <v>0</v>
      </c>
      <c r="L295">
        <v>0</v>
      </c>
      <c r="M295">
        <v>1</v>
      </c>
      <c r="N295">
        <v>26</v>
      </c>
      <c r="O295" t="s">
        <v>328</v>
      </c>
      <c r="P295">
        <v>26</v>
      </c>
    </row>
    <row r="296" spans="1:16">
      <c r="A296" s="42" t="str">
        <f>VLOOKUP(E296,'Soort voorraad'!A:B,2,FALSE)</f>
        <v>Grijpvoorraad</v>
      </c>
      <c r="B296" t="s">
        <v>321</v>
      </c>
      <c r="C296" t="s">
        <v>322</v>
      </c>
      <c r="D296" t="s">
        <v>323</v>
      </c>
      <c r="E296" t="s">
        <v>606</v>
      </c>
      <c r="F296" t="s">
        <v>607</v>
      </c>
      <c r="G296" t="s">
        <v>2091</v>
      </c>
      <c r="H296">
        <v>5</v>
      </c>
      <c r="I296">
        <v>1</v>
      </c>
      <c r="J296">
        <v>4</v>
      </c>
      <c r="K296">
        <v>0</v>
      </c>
      <c r="L296">
        <v>0</v>
      </c>
      <c r="M296">
        <v>4</v>
      </c>
      <c r="N296">
        <v>73.430000000000007</v>
      </c>
      <c r="O296" t="s">
        <v>328</v>
      </c>
      <c r="P296">
        <v>293.73</v>
      </c>
    </row>
    <row r="297" spans="1:16">
      <c r="A297" s="42" t="str">
        <f>VLOOKUP(E297,'Soort voorraad'!A:B,2,FALSE)</f>
        <v>Grijpvoorraad</v>
      </c>
      <c r="B297" t="s">
        <v>321</v>
      </c>
      <c r="C297" t="s">
        <v>322</v>
      </c>
      <c r="D297" t="s">
        <v>323</v>
      </c>
      <c r="E297" t="s">
        <v>608</v>
      </c>
      <c r="F297" t="s">
        <v>609</v>
      </c>
      <c r="G297" t="s">
        <v>2092</v>
      </c>
      <c r="H297">
        <v>2</v>
      </c>
      <c r="I297">
        <v>1</v>
      </c>
      <c r="J297">
        <v>3</v>
      </c>
      <c r="K297">
        <v>0</v>
      </c>
      <c r="L297">
        <v>0</v>
      </c>
      <c r="M297">
        <v>3</v>
      </c>
      <c r="N297">
        <v>5.99</v>
      </c>
      <c r="O297" t="s">
        <v>328</v>
      </c>
      <c r="P297">
        <v>17.97</v>
      </c>
    </row>
    <row r="298" spans="1:16">
      <c r="A298" s="42" t="str">
        <f>VLOOKUP(E298,'Soort voorraad'!A:B,2,FALSE)</f>
        <v>Grijpvoorraad</v>
      </c>
      <c r="B298" t="s">
        <v>321</v>
      </c>
      <c r="C298" t="s">
        <v>322</v>
      </c>
      <c r="D298" t="s">
        <v>323</v>
      </c>
      <c r="E298" t="s">
        <v>610</v>
      </c>
      <c r="F298" t="s">
        <v>611</v>
      </c>
      <c r="G298" t="s">
        <v>2093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77.95</v>
      </c>
      <c r="O298" t="s">
        <v>332</v>
      </c>
      <c r="P298">
        <v>0</v>
      </c>
    </row>
    <row r="299" spans="1:16">
      <c r="A299" s="42" t="str">
        <f>VLOOKUP(E299,'Soort voorraad'!A:B,2,FALSE)</f>
        <v>Grijpvoorraad</v>
      </c>
      <c r="B299" t="s">
        <v>321</v>
      </c>
      <c r="C299" t="s">
        <v>322</v>
      </c>
      <c r="D299" t="s">
        <v>323</v>
      </c>
      <c r="E299" t="s">
        <v>612</v>
      </c>
      <c r="F299" t="s">
        <v>613</v>
      </c>
      <c r="G299" t="s">
        <v>2094</v>
      </c>
      <c r="H299">
        <v>2</v>
      </c>
      <c r="I299">
        <v>1</v>
      </c>
      <c r="J299">
        <v>2</v>
      </c>
      <c r="K299">
        <v>0</v>
      </c>
      <c r="L299">
        <v>0</v>
      </c>
      <c r="M299">
        <v>2</v>
      </c>
      <c r="N299">
        <v>5.92</v>
      </c>
      <c r="O299" t="s">
        <v>332</v>
      </c>
      <c r="P299">
        <v>11.84</v>
      </c>
    </row>
    <row r="300" spans="1:16">
      <c r="A300" s="42" t="str">
        <f>VLOOKUP(E300,'Soort voorraad'!A:B,2,FALSE)</f>
        <v>Grijpvoorraad</v>
      </c>
      <c r="B300" t="s">
        <v>321</v>
      </c>
      <c r="C300" t="s">
        <v>322</v>
      </c>
      <c r="D300" t="s">
        <v>323</v>
      </c>
      <c r="E300" t="s">
        <v>614</v>
      </c>
      <c r="F300" t="s">
        <v>615</v>
      </c>
      <c r="G300" t="s">
        <v>2095</v>
      </c>
      <c r="H300">
        <v>1</v>
      </c>
      <c r="I300">
        <v>1</v>
      </c>
      <c r="J300">
        <v>2</v>
      </c>
      <c r="K300">
        <v>0</v>
      </c>
      <c r="L300">
        <v>0</v>
      </c>
      <c r="M300">
        <v>2</v>
      </c>
      <c r="N300">
        <v>12.44</v>
      </c>
      <c r="O300" t="s">
        <v>328</v>
      </c>
      <c r="P300">
        <v>24.88</v>
      </c>
    </row>
    <row r="301" spans="1:16">
      <c r="A301" s="42" t="str">
        <f>VLOOKUP(E301,'Soort voorraad'!A:B,2,FALSE)</f>
        <v>Grijpvoorraad</v>
      </c>
      <c r="B301" t="s">
        <v>321</v>
      </c>
      <c r="C301" t="s">
        <v>322</v>
      </c>
      <c r="D301" t="s">
        <v>323</v>
      </c>
      <c r="E301" t="s">
        <v>616</v>
      </c>
      <c r="F301" t="s">
        <v>617</v>
      </c>
      <c r="G301" t="s">
        <v>2096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6.32</v>
      </c>
      <c r="O301" t="s">
        <v>332</v>
      </c>
      <c r="P301">
        <v>0</v>
      </c>
    </row>
    <row r="302" spans="1:16">
      <c r="A302" s="42" t="str">
        <f>VLOOKUP(E302,'Soort voorraad'!A:B,2,FALSE)</f>
        <v>Projectvoorraad</v>
      </c>
      <c r="B302" t="s">
        <v>321</v>
      </c>
      <c r="C302" t="s">
        <v>322</v>
      </c>
      <c r="D302" t="s">
        <v>323</v>
      </c>
      <c r="E302" t="s">
        <v>235</v>
      </c>
      <c r="F302" t="s">
        <v>1699</v>
      </c>
      <c r="G302" t="s">
        <v>2097</v>
      </c>
      <c r="H302">
        <v>10</v>
      </c>
      <c r="I302">
        <v>10</v>
      </c>
      <c r="J302">
        <v>19</v>
      </c>
      <c r="K302">
        <v>0</v>
      </c>
      <c r="L302">
        <v>0</v>
      </c>
      <c r="M302">
        <v>19</v>
      </c>
      <c r="N302">
        <v>18.75</v>
      </c>
      <c r="O302" t="s">
        <v>121</v>
      </c>
      <c r="P302">
        <v>356.25</v>
      </c>
    </row>
    <row r="303" spans="1:16">
      <c r="A303" s="42" t="str">
        <f>VLOOKUP(E303,'Soort voorraad'!A:B,2,FALSE)</f>
        <v>Grijpvoorraad</v>
      </c>
      <c r="B303" t="s">
        <v>321</v>
      </c>
      <c r="C303" t="s">
        <v>322</v>
      </c>
      <c r="D303" t="s">
        <v>323</v>
      </c>
      <c r="E303" t="s">
        <v>640</v>
      </c>
      <c r="F303" t="s">
        <v>641</v>
      </c>
      <c r="G303" t="s">
        <v>2098</v>
      </c>
      <c r="H303">
        <v>15</v>
      </c>
      <c r="I303">
        <v>10</v>
      </c>
      <c r="J303">
        <v>57</v>
      </c>
      <c r="K303">
        <v>0</v>
      </c>
      <c r="L303">
        <v>0</v>
      </c>
      <c r="M303">
        <v>57</v>
      </c>
      <c r="N303">
        <v>5.95</v>
      </c>
      <c r="O303" t="s">
        <v>332</v>
      </c>
      <c r="P303">
        <v>339.15</v>
      </c>
    </row>
    <row r="304" spans="1:16">
      <c r="A304" s="42" t="str">
        <f>VLOOKUP(E304,'Soort voorraad'!A:B,2,FALSE)</f>
        <v>Grijpvoorraad</v>
      </c>
      <c r="B304" t="s">
        <v>321</v>
      </c>
      <c r="C304" t="s">
        <v>322</v>
      </c>
      <c r="D304" t="s">
        <v>323</v>
      </c>
      <c r="E304" t="s">
        <v>642</v>
      </c>
      <c r="F304" t="s">
        <v>643</v>
      </c>
      <c r="G304" t="s">
        <v>2099</v>
      </c>
      <c r="H304">
        <v>5</v>
      </c>
      <c r="I304">
        <v>3</v>
      </c>
      <c r="J304">
        <v>8</v>
      </c>
      <c r="K304">
        <v>0</v>
      </c>
      <c r="L304">
        <v>0</v>
      </c>
      <c r="M304">
        <v>8</v>
      </c>
      <c r="N304">
        <v>12.3</v>
      </c>
      <c r="O304" t="s">
        <v>121</v>
      </c>
      <c r="P304">
        <v>98.4</v>
      </c>
    </row>
    <row r="305" spans="1:16">
      <c r="A305" s="42" t="str">
        <f>VLOOKUP(E305,'Soort voorraad'!A:B,2,FALSE)</f>
        <v>Grijpvoorraad</v>
      </c>
      <c r="B305" t="s">
        <v>321</v>
      </c>
      <c r="C305" t="s">
        <v>322</v>
      </c>
      <c r="D305" t="s">
        <v>323</v>
      </c>
      <c r="E305" t="s">
        <v>644</v>
      </c>
      <c r="F305" t="s">
        <v>645</v>
      </c>
      <c r="G305" t="s">
        <v>2100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5.65</v>
      </c>
      <c r="O305" t="s">
        <v>328</v>
      </c>
      <c r="P305">
        <v>0</v>
      </c>
    </row>
    <row r="306" spans="1:16">
      <c r="A306" s="42" t="str">
        <f>VLOOKUP(E306,'Soort voorraad'!A:B,2,FALSE)</f>
        <v>Grijpvoorraad</v>
      </c>
      <c r="B306" t="s">
        <v>321</v>
      </c>
      <c r="C306" t="s">
        <v>322</v>
      </c>
      <c r="D306" t="s">
        <v>323</v>
      </c>
      <c r="E306" t="s">
        <v>624</v>
      </c>
      <c r="F306" t="s">
        <v>625</v>
      </c>
      <c r="G306" t="s">
        <v>2101</v>
      </c>
      <c r="H306">
        <v>15</v>
      </c>
      <c r="I306">
        <v>5</v>
      </c>
      <c r="J306">
        <v>15</v>
      </c>
      <c r="K306">
        <v>0</v>
      </c>
      <c r="L306">
        <v>0</v>
      </c>
      <c r="M306">
        <v>15</v>
      </c>
      <c r="N306">
        <v>4.24</v>
      </c>
      <c r="O306" t="s">
        <v>121</v>
      </c>
      <c r="P306">
        <v>63.57</v>
      </c>
    </row>
    <row r="307" spans="1:16">
      <c r="A307" s="42" t="str">
        <f>VLOOKUP(E307,'Soort voorraad'!A:B,2,FALSE)</f>
        <v>Grijpvoorraad</v>
      </c>
      <c r="B307" t="s">
        <v>321</v>
      </c>
      <c r="C307" t="s">
        <v>322</v>
      </c>
      <c r="D307" t="s">
        <v>323</v>
      </c>
      <c r="E307" t="s">
        <v>966</v>
      </c>
      <c r="F307" t="s">
        <v>967</v>
      </c>
      <c r="G307" t="s">
        <v>2102</v>
      </c>
      <c r="H307">
        <v>5</v>
      </c>
      <c r="I307">
        <v>2</v>
      </c>
      <c r="J307">
        <v>6</v>
      </c>
      <c r="K307">
        <v>3</v>
      </c>
      <c r="L307">
        <v>0</v>
      </c>
      <c r="M307">
        <v>9</v>
      </c>
      <c r="N307">
        <v>17.41</v>
      </c>
      <c r="O307" t="s">
        <v>328</v>
      </c>
      <c r="P307">
        <v>104.44</v>
      </c>
    </row>
    <row r="308" spans="1:16">
      <c r="A308" s="42" t="str">
        <f>VLOOKUP(E308,'Soort voorraad'!A:B,2,FALSE)</f>
        <v>Grijpvoorraad</v>
      </c>
      <c r="B308" t="s">
        <v>321</v>
      </c>
      <c r="C308" t="s">
        <v>322</v>
      </c>
      <c r="D308" t="s">
        <v>323</v>
      </c>
      <c r="E308" t="s">
        <v>626</v>
      </c>
      <c r="F308" t="s">
        <v>627</v>
      </c>
      <c r="G308" t="s">
        <v>2103</v>
      </c>
      <c r="H308">
        <v>5</v>
      </c>
      <c r="I308">
        <v>2</v>
      </c>
      <c r="J308">
        <v>5</v>
      </c>
      <c r="K308">
        <v>0</v>
      </c>
      <c r="L308">
        <v>0</v>
      </c>
      <c r="M308">
        <v>5</v>
      </c>
      <c r="N308">
        <v>14</v>
      </c>
      <c r="O308" t="s">
        <v>328</v>
      </c>
      <c r="P308">
        <v>70</v>
      </c>
    </row>
    <row r="309" spans="1:16">
      <c r="A309" s="42" t="str">
        <f>VLOOKUP(E309,'Soort voorraad'!A:B,2,FALSE)</f>
        <v>Grijpvoorraad</v>
      </c>
      <c r="B309" t="s">
        <v>321</v>
      </c>
      <c r="C309" t="s">
        <v>322</v>
      </c>
      <c r="D309" t="s">
        <v>323</v>
      </c>
      <c r="E309" t="s">
        <v>628</v>
      </c>
      <c r="F309" t="s">
        <v>629</v>
      </c>
      <c r="G309" t="s">
        <v>2104</v>
      </c>
      <c r="H309">
        <v>5</v>
      </c>
      <c r="I309">
        <v>2</v>
      </c>
      <c r="J309">
        <v>11</v>
      </c>
      <c r="K309">
        <v>0</v>
      </c>
      <c r="L309">
        <v>0</v>
      </c>
      <c r="M309">
        <v>11</v>
      </c>
      <c r="N309">
        <v>11.39</v>
      </c>
      <c r="O309" t="s">
        <v>328</v>
      </c>
      <c r="P309">
        <v>125.29</v>
      </c>
    </row>
    <row r="310" spans="1:16">
      <c r="A310" s="42" t="str">
        <f>VLOOKUP(E310,'Soort voorraad'!A:B,2,FALSE)</f>
        <v>Grijpvoorraad</v>
      </c>
      <c r="B310" t="s">
        <v>321</v>
      </c>
      <c r="C310" t="s">
        <v>322</v>
      </c>
      <c r="D310" t="s">
        <v>323</v>
      </c>
      <c r="E310" t="s">
        <v>630</v>
      </c>
      <c r="F310" t="s">
        <v>631</v>
      </c>
      <c r="G310" t="s">
        <v>2105</v>
      </c>
      <c r="H310">
        <v>5</v>
      </c>
      <c r="I310">
        <v>2</v>
      </c>
      <c r="J310">
        <v>4</v>
      </c>
      <c r="K310">
        <v>0</v>
      </c>
      <c r="L310">
        <v>0</v>
      </c>
      <c r="M310">
        <v>4</v>
      </c>
      <c r="N310">
        <v>10.08</v>
      </c>
      <c r="O310" t="s">
        <v>328</v>
      </c>
      <c r="P310">
        <v>40.32</v>
      </c>
    </row>
    <row r="311" spans="1:16">
      <c r="A311" s="42" t="str">
        <f>VLOOKUP(E311,'Soort voorraad'!A:B,2,FALSE)</f>
        <v>Grijpvoorraad</v>
      </c>
      <c r="B311" t="s">
        <v>321</v>
      </c>
      <c r="C311" t="s">
        <v>322</v>
      </c>
      <c r="D311" t="s">
        <v>323</v>
      </c>
      <c r="E311" t="s">
        <v>632</v>
      </c>
      <c r="F311" t="s">
        <v>633</v>
      </c>
      <c r="G311" t="s">
        <v>2106</v>
      </c>
      <c r="H311">
        <v>5</v>
      </c>
      <c r="I311">
        <v>2</v>
      </c>
      <c r="J311">
        <v>6</v>
      </c>
      <c r="K311">
        <v>0</v>
      </c>
      <c r="L311">
        <v>0</v>
      </c>
      <c r="M311">
        <v>6</v>
      </c>
      <c r="N311">
        <v>14.58</v>
      </c>
      <c r="O311" t="s">
        <v>328</v>
      </c>
      <c r="P311">
        <v>87.45</v>
      </c>
    </row>
    <row r="312" spans="1:16">
      <c r="A312" s="42" t="str">
        <f>VLOOKUP(E312,'Soort voorraad'!A:B,2,FALSE)</f>
        <v>Grijpvoorraad</v>
      </c>
      <c r="B312" t="s">
        <v>321</v>
      </c>
      <c r="C312" t="s">
        <v>322</v>
      </c>
      <c r="D312" t="s">
        <v>323</v>
      </c>
      <c r="E312" t="s">
        <v>634</v>
      </c>
      <c r="F312" t="s">
        <v>635</v>
      </c>
      <c r="G312" t="s">
        <v>2107</v>
      </c>
      <c r="H312">
        <v>5</v>
      </c>
      <c r="I312">
        <v>2</v>
      </c>
      <c r="J312">
        <v>3</v>
      </c>
      <c r="K312">
        <v>0</v>
      </c>
      <c r="L312">
        <v>0</v>
      </c>
      <c r="M312">
        <v>3</v>
      </c>
      <c r="N312">
        <v>11.54</v>
      </c>
      <c r="O312" t="s">
        <v>328</v>
      </c>
      <c r="P312">
        <v>34.619999999999997</v>
      </c>
    </row>
    <row r="313" spans="1:16">
      <c r="A313" s="42" t="str">
        <f>VLOOKUP(E313,'Soort voorraad'!A:B,2,FALSE)</f>
        <v>Grijpvoorraad</v>
      </c>
      <c r="B313" t="s">
        <v>321</v>
      </c>
      <c r="C313" t="s">
        <v>322</v>
      </c>
      <c r="D313" t="s">
        <v>323</v>
      </c>
      <c r="E313" t="s">
        <v>636</v>
      </c>
      <c r="F313" t="s">
        <v>637</v>
      </c>
      <c r="G313" t="s">
        <v>2108</v>
      </c>
      <c r="H313">
        <v>15</v>
      </c>
      <c r="I313">
        <v>5</v>
      </c>
      <c r="J313">
        <v>15</v>
      </c>
      <c r="K313">
        <v>0</v>
      </c>
      <c r="L313">
        <v>0</v>
      </c>
      <c r="M313">
        <v>15</v>
      </c>
      <c r="N313">
        <v>0.98</v>
      </c>
      <c r="O313" t="s">
        <v>121</v>
      </c>
      <c r="P313">
        <v>14.63</v>
      </c>
    </row>
    <row r="314" spans="1:16">
      <c r="A314" s="42" t="str">
        <f>VLOOKUP(E314,'Soort voorraad'!A:B,2,FALSE)</f>
        <v>Grijpvoorraad</v>
      </c>
      <c r="B314" t="s">
        <v>321</v>
      </c>
      <c r="C314" t="s">
        <v>322</v>
      </c>
      <c r="D314" t="s">
        <v>323</v>
      </c>
      <c r="E314" t="s">
        <v>638</v>
      </c>
      <c r="F314" t="s">
        <v>639</v>
      </c>
      <c r="G314" t="s">
        <v>2109</v>
      </c>
      <c r="H314">
        <v>15</v>
      </c>
      <c r="I314">
        <v>5</v>
      </c>
      <c r="J314">
        <v>15</v>
      </c>
      <c r="K314">
        <v>0</v>
      </c>
      <c r="L314">
        <v>0</v>
      </c>
      <c r="M314">
        <v>15</v>
      </c>
      <c r="N314">
        <v>1</v>
      </c>
      <c r="O314" t="s">
        <v>121</v>
      </c>
      <c r="P314">
        <v>15.03</v>
      </c>
    </row>
    <row r="315" spans="1:16">
      <c r="A315" s="42" t="str">
        <f>VLOOKUP(E315,'Soort voorraad'!A:B,2,FALSE)</f>
        <v>Projectvoorraad</v>
      </c>
      <c r="B315" t="s">
        <v>321</v>
      </c>
      <c r="C315" t="s">
        <v>322</v>
      </c>
      <c r="D315" t="s">
        <v>323</v>
      </c>
      <c r="E315" t="s">
        <v>234</v>
      </c>
      <c r="F315" t="s">
        <v>1704</v>
      </c>
      <c r="G315" t="s">
        <v>2110</v>
      </c>
      <c r="H315">
        <v>100</v>
      </c>
      <c r="I315">
        <v>15</v>
      </c>
      <c r="J315">
        <v>55</v>
      </c>
      <c r="K315">
        <v>0</v>
      </c>
      <c r="L315">
        <v>0</v>
      </c>
      <c r="M315">
        <v>55</v>
      </c>
      <c r="N315">
        <v>15.02</v>
      </c>
      <c r="O315" t="s">
        <v>121</v>
      </c>
      <c r="P315">
        <v>826.28</v>
      </c>
    </row>
    <row r="316" spans="1:16">
      <c r="A316" s="42" t="str">
        <f>VLOOKUP(E316,'Soort voorraad'!A:B,2,FALSE)</f>
        <v>Grijpvoorraad</v>
      </c>
      <c r="B316" t="s">
        <v>321</v>
      </c>
      <c r="C316" t="s">
        <v>322</v>
      </c>
      <c r="D316" t="s">
        <v>323</v>
      </c>
      <c r="E316" t="s">
        <v>660</v>
      </c>
      <c r="F316" t="s">
        <v>661</v>
      </c>
      <c r="G316" t="s">
        <v>2111</v>
      </c>
      <c r="H316">
        <v>5</v>
      </c>
      <c r="I316">
        <v>2</v>
      </c>
      <c r="J316">
        <v>8</v>
      </c>
      <c r="K316">
        <v>0</v>
      </c>
      <c r="L316">
        <v>0</v>
      </c>
      <c r="M316">
        <v>8</v>
      </c>
      <c r="N316">
        <v>8.51</v>
      </c>
      <c r="O316" t="s">
        <v>328</v>
      </c>
      <c r="P316">
        <v>68.08</v>
      </c>
    </row>
    <row r="317" spans="1:16">
      <c r="A317" s="42" t="str">
        <f>VLOOKUP(E317,'Soort voorraad'!A:B,2,FALSE)</f>
        <v>Grijpvoorraad</v>
      </c>
      <c r="B317" t="s">
        <v>321</v>
      </c>
      <c r="C317" t="s">
        <v>322</v>
      </c>
      <c r="D317" t="s">
        <v>323</v>
      </c>
      <c r="E317" t="s">
        <v>662</v>
      </c>
      <c r="F317" t="s">
        <v>663</v>
      </c>
      <c r="G317" t="s">
        <v>2112</v>
      </c>
      <c r="H317">
        <v>5</v>
      </c>
      <c r="I317">
        <v>2</v>
      </c>
      <c r="J317">
        <v>5</v>
      </c>
      <c r="K317">
        <v>0</v>
      </c>
      <c r="L317">
        <v>0</v>
      </c>
      <c r="M317">
        <v>5</v>
      </c>
      <c r="N317">
        <v>8.09</v>
      </c>
      <c r="O317" t="s">
        <v>328</v>
      </c>
      <c r="P317">
        <v>40.450000000000003</v>
      </c>
    </row>
    <row r="318" spans="1:16">
      <c r="A318" s="42" t="str">
        <f>VLOOKUP(E318,'Soort voorraad'!A:B,2,FALSE)</f>
        <v>Grijpvoorraad</v>
      </c>
      <c r="B318" t="s">
        <v>321</v>
      </c>
      <c r="C318" t="s">
        <v>322</v>
      </c>
      <c r="D318" t="s">
        <v>323</v>
      </c>
      <c r="E318" t="s">
        <v>664</v>
      </c>
      <c r="F318" t="s">
        <v>665</v>
      </c>
      <c r="G318" t="s">
        <v>2113</v>
      </c>
      <c r="H318">
        <v>5</v>
      </c>
      <c r="I318">
        <v>2</v>
      </c>
      <c r="J318">
        <v>4</v>
      </c>
      <c r="K318">
        <v>0</v>
      </c>
      <c r="L318">
        <v>0</v>
      </c>
      <c r="M318">
        <v>4</v>
      </c>
      <c r="N318">
        <v>10.87</v>
      </c>
      <c r="O318" t="s">
        <v>328</v>
      </c>
      <c r="P318">
        <v>43.48</v>
      </c>
    </row>
    <row r="319" spans="1:16">
      <c r="A319" s="42" t="str">
        <f>VLOOKUP(E319,'Soort voorraad'!A:B,2,FALSE)</f>
        <v>Grijpvoorraad</v>
      </c>
      <c r="B319" t="s">
        <v>321</v>
      </c>
      <c r="C319" t="s">
        <v>322</v>
      </c>
      <c r="D319" t="s">
        <v>323</v>
      </c>
      <c r="E319" t="s">
        <v>666</v>
      </c>
      <c r="F319" t="s">
        <v>667</v>
      </c>
      <c r="G319" t="s">
        <v>2114</v>
      </c>
      <c r="H319">
        <v>10</v>
      </c>
      <c r="I319">
        <v>3</v>
      </c>
      <c r="J319">
        <v>12</v>
      </c>
      <c r="K319">
        <v>10</v>
      </c>
      <c r="L319">
        <v>0</v>
      </c>
      <c r="M319">
        <v>22</v>
      </c>
      <c r="N319">
        <v>6.79</v>
      </c>
      <c r="O319" t="s">
        <v>121</v>
      </c>
      <c r="P319">
        <v>81.430000000000007</v>
      </c>
    </row>
    <row r="320" spans="1:16">
      <c r="A320" s="42" t="str">
        <f>VLOOKUP(E320,'Soort voorraad'!A:B,2,FALSE)</f>
        <v>Grijpvoorraad</v>
      </c>
      <c r="B320" t="s">
        <v>321</v>
      </c>
      <c r="C320" t="s">
        <v>322</v>
      </c>
      <c r="D320" t="s">
        <v>323</v>
      </c>
      <c r="E320" t="s">
        <v>668</v>
      </c>
      <c r="F320" t="s">
        <v>669</v>
      </c>
      <c r="G320" t="s">
        <v>2115</v>
      </c>
      <c r="H320">
        <v>5</v>
      </c>
      <c r="I320">
        <v>1</v>
      </c>
      <c r="J320">
        <v>6</v>
      </c>
      <c r="K320">
        <v>0</v>
      </c>
      <c r="L320">
        <v>0</v>
      </c>
      <c r="M320">
        <v>6</v>
      </c>
      <c r="N320">
        <v>4.8499999999999996</v>
      </c>
      <c r="O320" t="s">
        <v>121</v>
      </c>
      <c r="P320">
        <v>29.09</v>
      </c>
    </row>
    <row r="321" spans="1:16">
      <c r="A321" s="42" t="str">
        <f>VLOOKUP(E321,'Soort voorraad'!A:B,2,FALSE)</f>
        <v>Grijpvoorraad</v>
      </c>
      <c r="B321" t="s">
        <v>321</v>
      </c>
      <c r="C321" t="s">
        <v>322</v>
      </c>
      <c r="D321" t="s">
        <v>323</v>
      </c>
      <c r="E321" t="s">
        <v>2463</v>
      </c>
      <c r="F321" t="s">
        <v>2464</v>
      </c>
      <c r="G321" t="s">
        <v>2465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3.12</v>
      </c>
      <c r="O321" t="s">
        <v>142</v>
      </c>
      <c r="P321">
        <v>0</v>
      </c>
    </row>
    <row r="322" spans="1:16">
      <c r="A322" s="42" t="str">
        <f>VLOOKUP(E322,'Soort voorraad'!A:B,2,FALSE)</f>
        <v>Grijpvoorraad</v>
      </c>
      <c r="B322" t="s">
        <v>321</v>
      </c>
      <c r="C322" t="s">
        <v>322</v>
      </c>
      <c r="D322" t="s">
        <v>323</v>
      </c>
      <c r="E322" t="s">
        <v>2466</v>
      </c>
      <c r="F322" t="s">
        <v>2467</v>
      </c>
      <c r="G322" t="s">
        <v>2465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0.81</v>
      </c>
      <c r="O322" t="s">
        <v>121</v>
      </c>
      <c r="P322">
        <v>0</v>
      </c>
    </row>
    <row r="323" spans="1:16">
      <c r="A323" s="42" t="str">
        <f>VLOOKUP(E323,'Soort voorraad'!A:B,2,FALSE)</f>
        <v>Grijpvoorraad</v>
      </c>
      <c r="B323" t="s">
        <v>321</v>
      </c>
      <c r="C323" t="s">
        <v>322</v>
      </c>
      <c r="D323" t="s">
        <v>323</v>
      </c>
      <c r="E323" t="s">
        <v>2468</v>
      </c>
      <c r="F323" t="s">
        <v>2469</v>
      </c>
      <c r="G323" t="s">
        <v>2465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0.67</v>
      </c>
      <c r="O323" t="s">
        <v>121</v>
      </c>
      <c r="P323">
        <v>0</v>
      </c>
    </row>
    <row r="324" spans="1:16">
      <c r="A324" s="42" t="str">
        <f>VLOOKUP(E324,'Soort voorraad'!A:B,2,FALSE)</f>
        <v>Projectvoorraad</v>
      </c>
      <c r="B324" t="s">
        <v>321</v>
      </c>
      <c r="C324" t="s">
        <v>322</v>
      </c>
      <c r="D324" t="s">
        <v>323</v>
      </c>
      <c r="E324" t="s">
        <v>236</v>
      </c>
      <c r="F324" t="s">
        <v>1701</v>
      </c>
      <c r="G324" t="s">
        <v>2116</v>
      </c>
      <c r="H324">
        <v>5</v>
      </c>
      <c r="I324">
        <v>3</v>
      </c>
      <c r="J324">
        <v>8</v>
      </c>
      <c r="K324">
        <v>0</v>
      </c>
      <c r="L324">
        <v>0</v>
      </c>
      <c r="M324">
        <v>8</v>
      </c>
      <c r="N324">
        <v>62.85</v>
      </c>
      <c r="O324" t="s">
        <v>121</v>
      </c>
      <c r="P324">
        <v>502.83</v>
      </c>
    </row>
    <row r="325" spans="1:16">
      <c r="A325" s="42" t="str">
        <f>VLOOKUP(E325,'Soort voorraad'!A:B,2,FALSE)</f>
        <v>Grijpvoorraad</v>
      </c>
      <c r="B325" t="s">
        <v>321</v>
      </c>
      <c r="C325" t="s">
        <v>322</v>
      </c>
      <c r="D325" t="s">
        <v>323</v>
      </c>
      <c r="E325" t="s">
        <v>670</v>
      </c>
      <c r="F325" t="s">
        <v>671</v>
      </c>
      <c r="G325" t="s">
        <v>2117</v>
      </c>
      <c r="H325">
        <v>10</v>
      </c>
      <c r="I325">
        <v>1</v>
      </c>
      <c r="J325">
        <v>5</v>
      </c>
      <c r="K325">
        <v>0</v>
      </c>
      <c r="L325">
        <v>0</v>
      </c>
      <c r="M325">
        <v>5</v>
      </c>
      <c r="N325">
        <v>3.65</v>
      </c>
      <c r="O325" t="s">
        <v>328</v>
      </c>
      <c r="P325">
        <v>18.25</v>
      </c>
    </row>
    <row r="326" spans="1:16">
      <c r="A326" s="42" t="str">
        <f>VLOOKUP(E326,'Soort voorraad'!A:B,2,FALSE)</f>
        <v>Grijpvoorraad</v>
      </c>
      <c r="B326" t="s">
        <v>321</v>
      </c>
      <c r="C326" t="s">
        <v>322</v>
      </c>
      <c r="D326" t="s">
        <v>323</v>
      </c>
      <c r="E326" t="s">
        <v>672</v>
      </c>
      <c r="F326" t="s">
        <v>673</v>
      </c>
      <c r="G326" t="s">
        <v>2118</v>
      </c>
      <c r="H326">
        <v>3</v>
      </c>
      <c r="I326">
        <v>2</v>
      </c>
      <c r="J326">
        <v>10</v>
      </c>
      <c r="K326">
        <v>40</v>
      </c>
      <c r="L326">
        <v>0</v>
      </c>
      <c r="M326">
        <v>50</v>
      </c>
      <c r="N326">
        <v>2.21</v>
      </c>
      <c r="O326" t="s">
        <v>332</v>
      </c>
      <c r="P326">
        <v>22.1</v>
      </c>
    </row>
    <row r="327" spans="1:16">
      <c r="A327" s="42" t="str">
        <f>VLOOKUP(E327,'Soort voorraad'!A:B,2,FALSE)</f>
        <v>Grijpvoorraad</v>
      </c>
      <c r="B327" t="s">
        <v>321</v>
      </c>
      <c r="C327" t="s">
        <v>322</v>
      </c>
      <c r="D327" t="s">
        <v>323</v>
      </c>
      <c r="E327" t="s">
        <v>674</v>
      </c>
      <c r="F327" t="s">
        <v>675</v>
      </c>
      <c r="G327" t="s">
        <v>2119</v>
      </c>
      <c r="H327">
        <v>10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9.4499999999999993</v>
      </c>
      <c r="O327" t="s">
        <v>332</v>
      </c>
      <c r="P327">
        <v>0</v>
      </c>
    </row>
    <row r="328" spans="1:16">
      <c r="A328" s="42" t="str">
        <f>VLOOKUP(E328,'Soort voorraad'!A:B,2,FALSE)</f>
        <v>Grijpvoorraad</v>
      </c>
      <c r="B328" t="s">
        <v>321</v>
      </c>
      <c r="C328" t="s">
        <v>322</v>
      </c>
      <c r="D328" t="s">
        <v>323</v>
      </c>
      <c r="E328" t="s">
        <v>777</v>
      </c>
      <c r="F328" t="s">
        <v>778</v>
      </c>
      <c r="G328" t="s">
        <v>2119</v>
      </c>
      <c r="H328">
        <v>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9.4499999999999993</v>
      </c>
      <c r="O328" t="s">
        <v>332</v>
      </c>
      <c r="P328">
        <v>0</v>
      </c>
    </row>
    <row r="329" spans="1:16">
      <c r="A329" s="42" t="str">
        <f>VLOOKUP(E329,'Soort voorraad'!A:B,2,FALSE)</f>
        <v>Grijpvoorraad</v>
      </c>
      <c r="B329" t="s">
        <v>321</v>
      </c>
      <c r="C329" t="s">
        <v>322</v>
      </c>
      <c r="D329" t="s">
        <v>323</v>
      </c>
      <c r="E329" t="s">
        <v>822</v>
      </c>
      <c r="F329" t="s">
        <v>823</v>
      </c>
      <c r="G329" t="s">
        <v>2119</v>
      </c>
      <c r="H329">
        <v>10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16.34</v>
      </c>
      <c r="O329" t="s">
        <v>332</v>
      </c>
      <c r="P329">
        <v>0</v>
      </c>
    </row>
    <row r="330" spans="1:16">
      <c r="A330" s="42" t="str">
        <f>VLOOKUP(E330,'Soort voorraad'!A:B,2,FALSE)</f>
        <v>Grijpvoorraad</v>
      </c>
      <c r="B330" t="s">
        <v>321</v>
      </c>
      <c r="C330" t="s">
        <v>322</v>
      </c>
      <c r="D330" t="s">
        <v>323</v>
      </c>
      <c r="E330" t="s">
        <v>932</v>
      </c>
      <c r="F330" t="s">
        <v>933</v>
      </c>
      <c r="G330" t="s">
        <v>2119</v>
      </c>
      <c r="H330">
        <v>5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8.9499999999999993</v>
      </c>
      <c r="O330" t="s">
        <v>332</v>
      </c>
      <c r="P330">
        <v>0</v>
      </c>
    </row>
    <row r="331" spans="1:16">
      <c r="A331" s="42" t="str">
        <f>VLOOKUP(E331,'Soort voorraad'!A:B,2,FALSE)</f>
        <v>Grijpvoorraad</v>
      </c>
      <c r="B331" t="s">
        <v>321</v>
      </c>
      <c r="C331" t="s">
        <v>322</v>
      </c>
      <c r="D331" t="s">
        <v>323</v>
      </c>
      <c r="E331" t="s">
        <v>1686</v>
      </c>
      <c r="F331" t="s">
        <v>1687</v>
      </c>
      <c r="G331" t="s">
        <v>2119</v>
      </c>
      <c r="H331">
        <v>5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11.48</v>
      </c>
      <c r="O331" t="s">
        <v>332</v>
      </c>
      <c r="P331">
        <v>0</v>
      </c>
    </row>
    <row r="332" spans="1:16">
      <c r="A332" s="42" t="str">
        <f>VLOOKUP(E332,'Soort voorraad'!A:B,2,FALSE)</f>
        <v>Grijpvoorraad</v>
      </c>
      <c r="B332" t="s">
        <v>321</v>
      </c>
      <c r="C332" t="s">
        <v>322</v>
      </c>
      <c r="D332" t="s">
        <v>323</v>
      </c>
      <c r="E332" t="s">
        <v>677</v>
      </c>
      <c r="F332" t="s">
        <v>678</v>
      </c>
      <c r="G332" t="s">
        <v>2120</v>
      </c>
      <c r="H332">
        <v>50</v>
      </c>
      <c r="I332">
        <v>20</v>
      </c>
      <c r="J332">
        <v>65</v>
      </c>
      <c r="K332">
        <v>0</v>
      </c>
      <c r="L332">
        <v>0</v>
      </c>
      <c r="M332">
        <v>65</v>
      </c>
      <c r="N332">
        <v>0.4</v>
      </c>
      <c r="O332" t="s">
        <v>121</v>
      </c>
      <c r="P332">
        <v>26.2</v>
      </c>
    </row>
    <row r="333" spans="1:16">
      <c r="A333" s="42" t="str">
        <f>VLOOKUP(E333,'Soort voorraad'!A:B,2,FALSE)</f>
        <v>Grijpvoorraad</v>
      </c>
      <c r="B333" t="s">
        <v>321</v>
      </c>
      <c r="C333" t="s">
        <v>322</v>
      </c>
      <c r="D333" t="s">
        <v>323</v>
      </c>
      <c r="E333" t="s">
        <v>272</v>
      </c>
      <c r="F333" t="s">
        <v>676</v>
      </c>
      <c r="G333" t="s">
        <v>2121</v>
      </c>
      <c r="H333">
        <v>50</v>
      </c>
      <c r="I333">
        <v>10</v>
      </c>
      <c r="J333">
        <v>0</v>
      </c>
      <c r="K333">
        <v>50</v>
      </c>
      <c r="L333">
        <v>0</v>
      </c>
      <c r="M333">
        <v>50</v>
      </c>
      <c r="N333">
        <v>0.11</v>
      </c>
      <c r="O333" t="s">
        <v>121</v>
      </c>
      <c r="P333">
        <v>0</v>
      </c>
    </row>
    <row r="334" spans="1:16">
      <c r="A334" s="42" t="str">
        <f>VLOOKUP(E334,'Soort voorraad'!A:B,2,FALSE)</f>
        <v>Grijpvoorraad</v>
      </c>
      <c r="B334" t="s">
        <v>321</v>
      </c>
      <c r="C334" t="s">
        <v>322</v>
      </c>
      <c r="D334" t="s">
        <v>323</v>
      </c>
      <c r="E334" t="s">
        <v>681</v>
      </c>
      <c r="F334" t="s">
        <v>682</v>
      </c>
      <c r="G334" t="s">
        <v>2122</v>
      </c>
      <c r="H334">
        <v>50</v>
      </c>
      <c r="I334">
        <v>20</v>
      </c>
      <c r="J334">
        <v>30</v>
      </c>
      <c r="K334">
        <v>0</v>
      </c>
      <c r="L334">
        <v>0</v>
      </c>
      <c r="M334">
        <v>30</v>
      </c>
      <c r="N334">
        <v>0.12</v>
      </c>
      <c r="O334" t="s">
        <v>121</v>
      </c>
      <c r="P334">
        <v>3.6</v>
      </c>
    </row>
    <row r="335" spans="1:16">
      <c r="A335" s="42" t="str">
        <f>VLOOKUP(E335,'Soort voorraad'!A:B,2,FALSE)</f>
        <v>Grijpvoorraad</v>
      </c>
      <c r="B335" t="s">
        <v>321</v>
      </c>
      <c r="C335" t="s">
        <v>322</v>
      </c>
      <c r="D335" t="s">
        <v>323</v>
      </c>
      <c r="E335" t="s">
        <v>679</v>
      </c>
      <c r="F335" t="s">
        <v>680</v>
      </c>
      <c r="G335" t="s">
        <v>2123</v>
      </c>
      <c r="H335">
        <v>50</v>
      </c>
      <c r="I335">
        <v>20</v>
      </c>
      <c r="J335">
        <v>190</v>
      </c>
      <c r="K335">
        <v>0</v>
      </c>
      <c r="L335">
        <v>0</v>
      </c>
      <c r="M335">
        <v>190</v>
      </c>
      <c r="N335">
        <v>0.51</v>
      </c>
      <c r="O335" t="s">
        <v>121</v>
      </c>
      <c r="P335">
        <v>96.9</v>
      </c>
    </row>
    <row r="336" spans="1:16">
      <c r="A336" s="42" t="str">
        <f>VLOOKUP(E336,'Soort voorraad'!A:B,2,FALSE)</f>
        <v>Grijpvoorraad</v>
      </c>
      <c r="B336" t="s">
        <v>321</v>
      </c>
      <c r="C336" t="s">
        <v>322</v>
      </c>
      <c r="D336" t="s">
        <v>323</v>
      </c>
      <c r="E336" t="s">
        <v>683</v>
      </c>
      <c r="F336" t="s">
        <v>684</v>
      </c>
      <c r="G336" t="s">
        <v>2124</v>
      </c>
      <c r="H336">
        <v>50</v>
      </c>
      <c r="I336">
        <v>20</v>
      </c>
      <c r="J336">
        <v>20</v>
      </c>
      <c r="K336">
        <v>0</v>
      </c>
      <c r="L336">
        <v>0</v>
      </c>
      <c r="M336">
        <v>20</v>
      </c>
      <c r="N336">
        <v>0.25</v>
      </c>
      <c r="O336" t="s">
        <v>121</v>
      </c>
      <c r="P336">
        <v>5</v>
      </c>
    </row>
    <row r="337" spans="1:16">
      <c r="A337" s="42" t="str">
        <f>VLOOKUP(E337,'Soort voorraad'!A:B,2,FALSE)</f>
        <v>Grijpvoorraad</v>
      </c>
      <c r="B337" t="s">
        <v>321</v>
      </c>
      <c r="C337" t="s">
        <v>322</v>
      </c>
      <c r="D337" t="s">
        <v>323</v>
      </c>
      <c r="E337" t="s">
        <v>985</v>
      </c>
      <c r="F337" t="s">
        <v>986</v>
      </c>
      <c r="G337" t="s">
        <v>2125</v>
      </c>
      <c r="H337">
        <v>15</v>
      </c>
      <c r="I337">
        <v>5</v>
      </c>
      <c r="J337">
        <v>25</v>
      </c>
      <c r="K337">
        <v>0</v>
      </c>
      <c r="L337">
        <v>0</v>
      </c>
      <c r="M337">
        <v>25</v>
      </c>
      <c r="N337">
        <v>0.91</v>
      </c>
      <c r="O337" t="s">
        <v>121</v>
      </c>
      <c r="P337">
        <v>22.75</v>
      </c>
    </row>
    <row r="338" spans="1:16">
      <c r="A338" s="42" t="str">
        <f>VLOOKUP(E338,'Soort voorraad'!A:B,2,FALSE)</f>
        <v>Grijpvoorraad</v>
      </c>
      <c r="B338" t="s">
        <v>321</v>
      </c>
      <c r="C338" t="s">
        <v>322</v>
      </c>
      <c r="D338" t="s">
        <v>323</v>
      </c>
      <c r="E338" t="s">
        <v>646</v>
      </c>
      <c r="F338" t="s">
        <v>647</v>
      </c>
      <c r="G338" t="s">
        <v>2126</v>
      </c>
      <c r="H338">
        <v>5</v>
      </c>
      <c r="I338">
        <v>2</v>
      </c>
      <c r="J338">
        <v>8</v>
      </c>
      <c r="K338">
        <v>0</v>
      </c>
      <c r="L338">
        <v>0</v>
      </c>
      <c r="M338">
        <v>8</v>
      </c>
      <c r="N338">
        <v>7.45</v>
      </c>
      <c r="O338" t="s">
        <v>328</v>
      </c>
      <c r="P338">
        <v>59.6</v>
      </c>
    </row>
    <row r="339" spans="1:16">
      <c r="A339" s="42" t="str">
        <f>VLOOKUP(E339,'Soort voorraad'!A:B,2,FALSE)</f>
        <v>Grijpvoorraad</v>
      </c>
      <c r="B339" t="s">
        <v>321</v>
      </c>
      <c r="C339" t="s">
        <v>322</v>
      </c>
      <c r="D339" t="s">
        <v>323</v>
      </c>
      <c r="E339" t="s">
        <v>648</v>
      </c>
      <c r="F339" t="s">
        <v>649</v>
      </c>
      <c r="G339" t="s">
        <v>2127</v>
      </c>
      <c r="H339">
        <v>5</v>
      </c>
      <c r="I339">
        <v>2</v>
      </c>
      <c r="J339">
        <v>4</v>
      </c>
      <c r="K339">
        <v>0</v>
      </c>
      <c r="L339">
        <v>0</v>
      </c>
      <c r="M339">
        <v>4</v>
      </c>
      <c r="N339">
        <v>7.75</v>
      </c>
      <c r="O339" t="s">
        <v>328</v>
      </c>
      <c r="P339">
        <v>30.98</v>
      </c>
    </row>
    <row r="340" spans="1:16">
      <c r="A340" s="42" t="str">
        <f>VLOOKUP(E340,'Soort voorraad'!A:B,2,FALSE)</f>
        <v>Grijpvoorraad</v>
      </c>
      <c r="B340" t="s">
        <v>321</v>
      </c>
      <c r="C340" t="s">
        <v>322</v>
      </c>
      <c r="D340" t="s">
        <v>323</v>
      </c>
      <c r="E340" t="s">
        <v>650</v>
      </c>
      <c r="F340" t="s">
        <v>651</v>
      </c>
      <c r="G340" t="s">
        <v>2128</v>
      </c>
      <c r="H340">
        <v>5</v>
      </c>
      <c r="I340">
        <v>2</v>
      </c>
      <c r="J340">
        <v>6</v>
      </c>
      <c r="K340">
        <v>0</v>
      </c>
      <c r="L340">
        <v>0</v>
      </c>
      <c r="M340">
        <v>6</v>
      </c>
      <c r="N340">
        <v>6.8</v>
      </c>
      <c r="O340" t="s">
        <v>328</v>
      </c>
      <c r="P340">
        <v>40.799999999999997</v>
      </c>
    </row>
    <row r="341" spans="1:16">
      <c r="A341" s="42" t="str">
        <f>VLOOKUP(E341,'Soort voorraad'!A:B,2,FALSE)</f>
        <v>Grijpvoorraad</v>
      </c>
      <c r="B341" t="s">
        <v>321</v>
      </c>
      <c r="C341" t="s">
        <v>322</v>
      </c>
      <c r="D341" t="s">
        <v>323</v>
      </c>
      <c r="E341" t="s">
        <v>652</v>
      </c>
      <c r="F341" t="s">
        <v>653</v>
      </c>
      <c r="G341" t="s">
        <v>2129</v>
      </c>
      <c r="H341">
        <v>5</v>
      </c>
      <c r="I341">
        <v>2</v>
      </c>
      <c r="J341">
        <v>7</v>
      </c>
      <c r="K341">
        <v>0</v>
      </c>
      <c r="L341">
        <v>0</v>
      </c>
      <c r="M341">
        <v>7</v>
      </c>
      <c r="N341">
        <v>7.7</v>
      </c>
      <c r="O341" t="s">
        <v>328</v>
      </c>
      <c r="P341">
        <v>53.9</v>
      </c>
    </row>
    <row r="342" spans="1:16">
      <c r="A342" s="42" t="str">
        <f>VLOOKUP(E342,'Soort voorraad'!A:B,2,FALSE)</f>
        <v>Grijpvoorraad</v>
      </c>
      <c r="B342" t="s">
        <v>321</v>
      </c>
      <c r="C342" t="s">
        <v>322</v>
      </c>
      <c r="D342" t="s">
        <v>323</v>
      </c>
      <c r="E342" t="s">
        <v>654</v>
      </c>
      <c r="F342" t="s">
        <v>655</v>
      </c>
      <c r="G342" t="s">
        <v>2130</v>
      </c>
      <c r="H342">
        <v>5</v>
      </c>
      <c r="I342">
        <v>2</v>
      </c>
      <c r="J342">
        <v>4</v>
      </c>
      <c r="K342">
        <v>0</v>
      </c>
      <c r="L342">
        <v>0</v>
      </c>
      <c r="M342">
        <v>4</v>
      </c>
      <c r="N342">
        <v>10.62</v>
      </c>
      <c r="O342" t="s">
        <v>328</v>
      </c>
      <c r="P342">
        <v>42.48</v>
      </c>
    </row>
    <row r="343" spans="1:16">
      <c r="A343" s="42" t="str">
        <f>VLOOKUP(E343,'Soort voorraad'!A:B,2,FALSE)</f>
        <v>Grijpvoorraad</v>
      </c>
      <c r="B343" t="s">
        <v>321</v>
      </c>
      <c r="C343" t="s">
        <v>322</v>
      </c>
      <c r="D343" t="s">
        <v>323</v>
      </c>
      <c r="E343" t="s">
        <v>656</v>
      </c>
      <c r="F343" t="s">
        <v>657</v>
      </c>
      <c r="G343" t="s">
        <v>2131</v>
      </c>
      <c r="H343">
        <v>5</v>
      </c>
      <c r="I343">
        <v>2</v>
      </c>
      <c r="J343">
        <v>1</v>
      </c>
      <c r="K343">
        <v>0</v>
      </c>
      <c r="L343">
        <v>0</v>
      </c>
      <c r="M343">
        <v>1</v>
      </c>
      <c r="N343">
        <v>8.06</v>
      </c>
      <c r="O343" t="s">
        <v>328</v>
      </c>
      <c r="P343">
        <v>8.06</v>
      </c>
    </row>
    <row r="344" spans="1:16">
      <c r="A344" s="42" t="str">
        <f>VLOOKUP(E344,'Soort voorraad'!A:B,2,FALSE)</f>
        <v>Grijpvoorraad</v>
      </c>
      <c r="B344" t="s">
        <v>321</v>
      </c>
      <c r="C344" t="s">
        <v>322</v>
      </c>
      <c r="D344" t="s">
        <v>323</v>
      </c>
      <c r="E344" t="s">
        <v>658</v>
      </c>
      <c r="F344" t="s">
        <v>659</v>
      </c>
      <c r="G344" t="s">
        <v>2132</v>
      </c>
      <c r="H344">
        <v>5</v>
      </c>
      <c r="I344">
        <v>2</v>
      </c>
      <c r="J344">
        <v>5</v>
      </c>
      <c r="K344">
        <v>0</v>
      </c>
      <c r="L344">
        <v>0</v>
      </c>
      <c r="M344">
        <v>5</v>
      </c>
      <c r="N344">
        <v>7.86</v>
      </c>
      <c r="O344" t="s">
        <v>328</v>
      </c>
      <c r="P344">
        <v>39.299999999999997</v>
      </c>
    </row>
    <row r="345" spans="1:16">
      <c r="A345" s="42" t="str">
        <f>VLOOKUP(E345,'Soort voorraad'!A:B,2,FALSE)</f>
        <v>Projectvoorraad</v>
      </c>
      <c r="B345" t="s">
        <v>321</v>
      </c>
      <c r="C345" t="s">
        <v>322</v>
      </c>
      <c r="D345" t="s">
        <v>323</v>
      </c>
      <c r="E345" t="s">
        <v>227</v>
      </c>
      <c r="F345" t="s">
        <v>685</v>
      </c>
      <c r="G345" t="s">
        <v>2133</v>
      </c>
      <c r="H345">
        <v>5</v>
      </c>
      <c r="I345">
        <v>2</v>
      </c>
      <c r="J345">
        <v>5</v>
      </c>
      <c r="K345">
        <v>0</v>
      </c>
      <c r="L345">
        <v>0</v>
      </c>
      <c r="M345">
        <v>5</v>
      </c>
      <c r="N345">
        <v>15.3</v>
      </c>
      <c r="O345" t="s">
        <v>121</v>
      </c>
      <c r="P345">
        <v>76.5</v>
      </c>
    </row>
    <row r="346" spans="1:16">
      <c r="A346" s="42" t="str">
        <f>VLOOKUP(E346,'Soort voorraad'!A:B,2,FALSE)</f>
        <v>Grijpvoorraad</v>
      </c>
      <c r="B346" t="s">
        <v>321</v>
      </c>
      <c r="C346" t="s">
        <v>322</v>
      </c>
      <c r="D346" t="s">
        <v>323</v>
      </c>
      <c r="E346" t="s">
        <v>690</v>
      </c>
      <c r="F346" t="s">
        <v>691</v>
      </c>
      <c r="G346" t="s">
        <v>2134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0.36</v>
      </c>
      <c r="O346" t="s">
        <v>121</v>
      </c>
      <c r="P346">
        <v>0</v>
      </c>
    </row>
    <row r="347" spans="1:16">
      <c r="A347" s="42" t="str">
        <f>VLOOKUP(E347,'Soort voorraad'!A:B,2,FALSE)</f>
        <v>Grijpvoorraad</v>
      </c>
      <c r="B347" t="s">
        <v>321</v>
      </c>
      <c r="C347" t="s">
        <v>322</v>
      </c>
      <c r="D347" t="s">
        <v>323</v>
      </c>
      <c r="E347" t="s">
        <v>692</v>
      </c>
      <c r="F347" t="s">
        <v>693</v>
      </c>
      <c r="G347" t="s">
        <v>2135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0.71</v>
      </c>
      <c r="O347" t="s">
        <v>121</v>
      </c>
      <c r="P347">
        <v>0</v>
      </c>
    </row>
    <row r="348" spans="1:16">
      <c r="A348" s="42" t="str">
        <f>VLOOKUP(E348,'Soort voorraad'!A:B,2,FALSE)</f>
        <v>Grijpvoorraad</v>
      </c>
      <c r="B348" t="s">
        <v>321</v>
      </c>
      <c r="C348" t="s">
        <v>322</v>
      </c>
      <c r="D348" t="s">
        <v>323</v>
      </c>
      <c r="E348" t="s">
        <v>991</v>
      </c>
      <c r="F348" t="s">
        <v>992</v>
      </c>
      <c r="G348" t="s">
        <v>2136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2.15</v>
      </c>
      <c r="O348" t="s">
        <v>121</v>
      </c>
      <c r="P348">
        <v>0</v>
      </c>
    </row>
    <row r="349" spans="1:16">
      <c r="A349" s="42" t="str">
        <f>VLOOKUP(E349,'Soort voorraad'!A:B,2,FALSE)</f>
        <v>Grijpvoorraad</v>
      </c>
      <c r="B349" t="s">
        <v>321</v>
      </c>
      <c r="C349" t="s">
        <v>322</v>
      </c>
      <c r="D349" t="s">
        <v>323</v>
      </c>
      <c r="E349" t="s">
        <v>694</v>
      </c>
      <c r="F349" t="s">
        <v>695</v>
      </c>
      <c r="G349" t="s">
        <v>2137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1.36</v>
      </c>
      <c r="O349" t="s">
        <v>121</v>
      </c>
      <c r="P349">
        <v>0</v>
      </c>
    </row>
    <row r="350" spans="1:16">
      <c r="A350" s="42" t="str">
        <f>VLOOKUP(E350,'Soort voorraad'!A:B,2,FALSE)</f>
        <v>Grijpvoorraad</v>
      </c>
      <c r="B350" t="s">
        <v>321</v>
      </c>
      <c r="C350" t="s">
        <v>322</v>
      </c>
      <c r="D350" t="s">
        <v>323</v>
      </c>
      <c r="E350" t="s">
        <v>696</v>
      </c>
      <c r="F350" t="s">
        <v>697</v>
      </c>
      <c r="G350" t="s">
        <v>2138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2.0099999999999998</v>
      </c>
      <c r="O350" t="s">
        <v>121</v>
      </c>
      <c r="P350">
        <v>0</v>
      </c>
    </row>
    <row r="351" spans="1:16">
      <c r="A351" s="42" t="str">
        <f>VLOOKUP(E351,'Soort voorraad'!A:B,2,FALSE)</f>
        <v>Grijpvoorraad</v>
      </c>
      <c r="B351" t="s">
        <v>321</v>
      </c>
      <c r="C351" t="s">
        <v>322</v>
      </c>
      <c r="D351" t="s">
        <v>323</v>
      </c>
      <c r="E351" t="s">
        <v>698</v>
      </c>
      <c r="F351" t="s">
        <v>699</v>
      </c>
      <c r="G351" t="s">
        <v>2139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0.3</v>
      </c>
      <c r="O351" t="s">
        <v>121</v>
      </c>
      <c r="P351">
        <v>0</v>
      </c>
    </row>
    <row r="352" spans="1:16">
      <c r="A352" s="42" t="str">
        <f>VLOOKUP(E352,'Soort voorraad'!A:B,2,FALSE)</f>
        <v>Grijpvoorraad</v>
      </c>
      <c r="B352" t="s">
        <v>321</v>
      </c>
      <c r="C352" t="s">
        <v>322</v>
      </c>
      <c r="D352" t="s">
        <v>323</v>
      </c>
      <c r="E352" t="s">
        <v>700</v>
      </c>
      <c r="F352" t="s">
        <v>701</v>
      </c>
      <c r="G352" t="s">
        <v>2140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0.45</v>
      </c>
      <c r="O352" t="s">
        <v>121</v>
      </c>
      <c r="P352">
        <v>0</v>
      </c>
    </row>
    <row r="353" spans="1:16">
      <c r="A353" s="42" t="str">
        <f>VLOOKUP(E353,'Soort voorraad'!A:B,2,FALSE)</f>
        <v>Grijpvoorraad</v>
      </c>
      <c r="B353" t="s">
        <v>321</v>
      </c>
      <c r="C353" t="s">
        <v>322</v>
      </c>
      <c r="D353" t="s">
        <v>323</v>
      </c>
      <c r="E353" t="s">
        <v>702</v>
      </c>
      <c r="F353" t="s">
        <v>703</v>
      </c>
      <c r="G353" t="s">
        <v>2141</v>
      </c>
      <c r="H353">
        <v>0</v>
      </c>
      <c r="I353">
        <v>0</v>
      </c>
      <c r="J353">
        <v>24</v>
      </c>
      <c r="K353">
        <v>0</v>
      </c>
      <c r="L353">
        <v>0</v>
      </c>
      <c r="M353">
        <v>24</v>
      </c>
      <c r="N353">
        <v>3.41</v>
      </c>
      <c r="O353" t="s">
        <v>121</v>
      </c>
      <c r="P353">
        <v>81.84</v>
      </c>
    </row>
    <row r="354" spans="1:16">
      <c r="A354" s="42" t="str">
        <f>VLOOKUP(E354,'Soort voorraad'!A:B,2,FALSE)</f>
        <v>Grijpvoorraad</v>
      </c>
      <c r="B354" t="s">
        <v>321</v>
      </c>
      <c r="C354" t="s">
        <v>322</v>
      </c>
      <c r="D354" t="s">
        <v>323</v>
      </c>
      <c r="E354" t="s">
        <v>704</v>
      </c>
      <c r="F354" t="s">
        <v>705</v>
      </c>
      <c r="G354" t="s">
        <v>2142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1.61</v>
      </c>
      <c r="O354" t="s">
        <v>121</v>
      </c>
      <c r="P354">
        <v>0</v>
      </c>
    </row>
    <row r="355" spans="1:16">
      <c r="A355" s="42" t="str">
        <f>VLOOKUP(E355,'Soort voorraad'!A:B,2,FALSE)</f>
        <v>Grijpvoorraad</v>
      </c>
      <c r="B355" t="s">
        <v>321</v>
      </c>
      <c r="C355" t="s">
        <v>322</v>
      </c>
      <c r="D355" t="s">
        <v>323</v>
      </c>
      <c r="E355" t="s">
        <v>706</v>
      </c>
      <c r="F355" t="s">
        <v>707</v>
      </c>
      <c r="G355" t="s">
        <v>2143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5.63</v>
      </c>
      <c r="O355" t="s">
        <v>121</v>
      </c>
      <c r="P355">
        <v>0</v>
      </c>
    </row>
    <row r="356" spans="1:16">
      <c r="A356" s="42" t="str">
        <f>VLOOKUP(E356,'Soort voorraad'!A:B,2,FALSE)</f>
        <v>Projectvoorraad</v>
      </c>
      <c r="B356" t="s">
        <v>321</v>
      </c>
      <c r="C356" t="s">
        <v>322</v>
      </c>
      <c r="D356" t="s">
        <v>323</v>
      </c>
      <c r="E356" t="s">
        <v>232</v>
      </c>
      <c r="F356" t="s">
        <v>1054</v>
      </c>
      <c r="G356" t="s">
        <v>2144</v>
      </c>
      <c r="H356">
        <v>50</v>
      </c>
      <c r="I356">
        <v>0</v>
      </c>
      <c r="J356">
        <v>4</v>
      </c>
      <c r="K356">
        <v>0</v>
      </c>
      <c r="L356">
        <v>0</v>
      </c>
      <c r="M356">
        <v>4</v>
      </c>
      <c r="N356">
        <v>9.3000000000000007</v>
      </c>
      <c r="O356" t="s">
        <v>121</v>
      </c>
      <c r="P356">
        <v>37.200000000000003</v>
      </c>
    </row>
    <row r="357" spans="1:16">
      <c r="A357" s="42" t="str">
        <f>VLOOKUP(E357,'Soort voorraad'!A:B,2,FALSE)</f>
        <v>Grijpvoorraad</v>
      </c>
      <c r="B357" t="s">
        <v>321</v>
      </c>
      <c r="C357" t="s">
        <v>322</v>
      </c>
      <c r="D357" t="s">
        <v>323</v>
      </c>
      <c r="E357" t="s">
        <v>708</v>
      </c>
      <c r="F357" t="s">
        <v>709</v>
      </c>
      <c r="G357" t="s">
        <v>2145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1.63</v>
      </c>
      <c r="O357" t="s">
        <v>121</v>
      </c>
      <c r="P357">
        <v>0</v>
      </c>
    </row>
    <row r="358" spans="1:16">
      <c r="A358" s="42" t="str">
        <f>VLOOKUP(E358,'Soort voorraad'!A:B,2,FALSE)</f>
        <v>Grijpvoorraad</v>
      </c>
      <c r="B358" t="s">
        <v>321</v>
      </c>
      <c r="C358" t="s">
        <v>322</v>
      </c>
      <c r="D358" t="s">
        <v>323</v>
      </c>
      <c r="E358" t="s">
        <v>710</v>
      </c>
      <c r="F358" t="s">
        <v>711</v>
      </c>
      <c r="G358" t="s">
        <v>2146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4.13</v>
      </c>
      <c r="O358" t="s">
        <v>121</v>
      </c>
      <c r="P358">
        <v>0</v>
      </c>
    </row>
    <row r="359" spans="1:16">
      <c r="A359" s="42" t="str">
        <f>VLOOKUP(E359,'Soort voorraad'!A:B,2,FALSE)</f>
        <v>Grijpvoorraad</v>
      </c>
      <c r="B359" t="s">
        <v>321</v>
      </c>
      <c r="C359" t="s">
        <v>322</v>
      </c>
      <c r="D359" t="s">
        <v>323</v>
      </c>
      <c r="E359" t="s">
        <v>712</v>
      </c>
      <c r="F359" t="s">
        <v>713</v>
      </c>
      <c r="G359" t="s">
        <v>2147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1.68</v>
      </c>
      <c r="O359" t="s">
        <v>121</v>
      </c>
      <c r="P359">
        <v>0</v>
      </c>
    </row>
    <row r="360" spans="1:16">
      <c r="A360" s="42" t="str">
        <f>VLOOKUP(E360,'Soort voorraad'!A:B,2,FALSE)</f>
        <v>Grijpvoorraad</v>
      </c>
      <c r="B360" t="s">
        <v>321</v>
      </c>
      <c r="C360" t="s">
        <v>322</v>
      </c>
      <c r="D360" t="s">
        <v>323</v>
      </c>
      <c r="E360" t="s">
        <v>714</v>
      </c>
      <c r="F360" t="s">
        <v>715</v>
      </c>
      <c r="G360" t="s">
        <v>2148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1.94</v>
      </c>
      <c r="O360" t="s">
        <v>121</v>
      </c>
      <c r="P360">
        <v>0</v>
      </c>
    </row>
    <row r="361" spans="1:16">
      <c r="A361" s="42" t="str">
        <f>VLOOKUP(E361,'Soort voorraad'!A:B,2,FALSE)</f>
        <v>Grijpvoorraad</v>
      </c>
      <c r="B361" t="s">
        <v>321</v>
      </c>
      <c r="C361" t="s">
        <v>322</v>
      </c>
      <c r="D361" t="s">
        <v>323</v>
      </c>
      <c r="E361" t="s">
        <v>716</v>
      </c>
      <c r="F361" t="s">
        <v>717</v>
      </c>
      <c r="G361" t="s">
        <v>2149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3.17</v>
      </c>
      <c r="O361" t="s">
        <v>121</v>
      </c>
      <c r="P361">
        <v>0</v>
      </c>
    </row>
    <row r="362" spans="1:16">
      <c r="A362" s="42" t="str">
        <f>VLOOKUP(E362,'Soort voorraad'!A:B,2,FALSE)</f>
        <v>Grijpvoorraad</v>
      </c>
      <c r="B362" t="s">
        <v>321</v>
      </c>
      <c r="C362" t="s">
        <v>322</v>
      </c>
      <c r="D362" t="s">
        <v>323</v>
      </c>
      <c r="E362" t="s">
        <v>718</v>
      </c>
      <c r="F362" t="s">
        <v>719</v>
      </c>
      <c r="G362" t="s">
        <v>2150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3.95</v>
      </c>
      <c r="O362" t="s">
        <v>121</v>
      </c>
      <c r="P362">
        <v>0</v>
      </c>
    </row>
    <row r="363" spans="1:16">
      <c r="A363" s="42" t="str">
        <f>VLOOKUP(E363,'Soort voorraad'!A:B,2,FALSE)</f>
        <v>Grijpvoorraad</v>
      </c>
      <c r="B363" t="s">
        <v>321</v>
      </c>
      <c r="C363" t="s">
        <v>322</v>
      </c>
      <c r="D363" t="s">
        <v>323</v>
      </c>
      <c r="E363" t="s">
        <v>720</v>
      </c>
      <c r="F363" t="s">
        <v>721</v>
      </c>
      <c r="G363" t="s">
        <v>2151</v>
      </c>
      <c r="H363">
        <v>0</v>
      </c>
      <c r="I363">
        <v>0</v>
      </c>
      <c r="J363">
        <v>10</v>
      </c>
      <c r="K363">
        <v>0</v>
      </c>
      <c r="L363">
        <v>0</v>
      </c>
      <c r="M363">
        <v>10</v>
      </c>
      <c r="N363">
        <v>3.38</v>
      </c>
      <c r="O363" t="s">
        <v>121</v>
      </c>
      <c r="P363">
        <v>33.799999999999997</v>
      </c>
    </row>
    <row r="364" spans="1:16">
      <c r="A364" s="42" t="str">
        <f>VLOOKUP(E364,'Soort voorraad'!A:B,2,FALSE)</f>
        <v>Grijpvoorraad</v>
      </c>
      <c r="B364" t="s">
        <v>321</v>
      </c>
      <c r="C364" t="s">
        <v>322</v>
      </c>
      <c r="D364" t="s">
        <v>323</v>
      </c>
      <c r="E364" t="s">
        <v>722</v>
      </c>
      <c r="F364" t="s">
        <v>723</v>
      </c>
      <c r="G364" t="s">
        <v>2152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2.5</v>
      </c>
      <c r="O364" t="s">
        <v>121</v>
      </c>
      <c r="P364">
        <v>0</v>
      </c>
    </row>
    <row r="365" spans="1:16">
      <c r="A365" s="42" t="e">
        <f>VLOOKUP(E365,'Soort voorraad'!A:B,2,FALSE)</f>
        <v>#N/A</v>
      </c>
      <c r="B365" t="s">
        <v>321</v>
      </c>
      <c r="C365" t="s">
        <v>322</v>
      </c>
      <c r="D365" t="s">
        <v>323</v>
      </c>
      <c r="E365" t="s">
        <v>2484</v>
      </c>
      <c r="F365" t="s">
        <v>2485</v>
      </c>
      <c r="G365" t="s">
        <v>2486</v>
      </c>
      <c r="H365">
        <v>0</v>
      </c>
      <c r="I365">
        <v>0</v>
      </c>
      <c r="J365">
        <v>50</v>
      </c>
      <c r="K365">
        <v>0</v>
      </c>
      <c r="L365">
        <v>0</v>
      </c>
      <c r="M365">
        <v>50</v>
      </c>
      <c r="N365">
        <v>3.13</v>
      </c>
      <c r="O365" t="s">
        <v>121</v>
      </c>
      <c r="P365">
        <v>156.5</v>
      </c>
    </row>
    <row r="366" spans="1:16">
      <c r="A366" s="42" t="str">
        <f>VLOOKUP(E366,'Soort voorraad'!A:B,2,FALSE)</f>
        <v>Grijpvoorraad</v>
      </c>
      <c r="B366" t="s">
        <v>321</v>
      </c>
      <c r="C366" t="s">
        <v>322</v>
      </c>
      <c r="D366" t="s">
        <v>323</v>
      </c>
      <c r="E366" t="s">
        <v>724</v>
      </c>
      <c r="F366" t="s">
        <v>725</v>
      </c>
      <c r="G366" t="s">
        <v>2153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1.47</v>
      </c>
      <c r="O366" t="s">
        <v>121</v>
      </c>
      <c r="P366">
        <v>0</v>
      </c>
    </row>
    <row r="367" spans="1:16">
      <c r="A367" s="42" t="str">
        <f>VLOOKUP(E367,'Soort voorraad'!A:B,2,FALSE)</f>
        <v>Grijpvoorraad</v>
      </c>
      <c r="B367" t="s">
        <v>321</v>
      </c>
      <c r="C367" t="s">
        <v>322</v>
      </c>
      <c r="D367" t="s">
        <v>323</v>
      </c>
      <c r="E367" t="s">
        <v>726</v>
      </c>
      <c r="F367" t="s">
        <v>727</v>
      </c>
      <c r="G367" t="s">
        <v>2154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3.2</v>
      </c>
      <c r="O367" t="s">
        <v>121</v>
      </c>
      <c r="P367">
        <v>0</v>
      </c>
    </row>
    <row r="368" spans="1:16">
      <c r="A368" s="42" t="str">
        <f>VLOOKUP(E368,'Soort voorraad'!A:B,2,FALSE)</f>
        <v>Grijpvoorraad</v>
      </c>
      <c r="B368" t="s">
        <v>321</v>
      </c>
      <c r="C368" t="s">
        <v>322</v>
      </c>
      <c r="D368" t="s">
        <v>323</v>
      </c>
      <c r="E368" t="s">
        <v>728</v>
      </c>
      <c r="F368" t="s">
        <v>729</v>
      </c>
      <c r="G368" t="s">
        <v>2155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3.25</v>
      </c>
      <c r="O368" t="s">
        <v>121</v>
      </c>
      <c r="P368">
        <v>0</v>
      </c>
    </row>
    <row r="369" spans="1:16">
      <c r="A369" s="42" t="str">
        <f>VLOOKUP(E369,'Soort voorraad'!A:B,2,FALSE)</f>
        <v>Grijpvoorraad</v>
      </c>
      <c r="B369" t="s">
        <v>321</v>
      </c>
      <c r="C369" t="s">
        <v>322</v>
      </c>
      <c r="D369" t="s">
        <v>323</v>
      </c>
      <c r="E369" t="s">
        <v>730</v>
      </c>
      <c r="F369" t="s">
        <v>731</v>
      </c>
      <c r="G369" t="s">
        <v>2156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5.07</v>
      </c>
      <c r="O369" t="s">
        <v>121</v>
      </c>
      <c r="P369">
        <v>0</v>
      </c>
    </row>
    <row r="370" spans="1:16">
      <c r="A370" s="42" t="str">
        <f>VLOOKUP(E370,'Soort voorraad'!A:B,2,FALSE)</f>
        <v>Projectvoorraad</v>
      </c>
      <c r="B370" t="s">
        <v>321</v>
      </c>
      <c r="C370" t="s">
        <v>322</v>
      </c>
      <c r="D370" t="s">
        <v>323</v>
      </c>
      <c r="E370" t="s">
        <v>231</v>
      </c>
      <c r="F370" t="s">
        <v>1065</v>
      </c>
      <c r="G370" t="s">
        <v>2157</v>
      </c>
      <c r="H370">
        <v>120</v>
      </c>
      <c r="I370">
        <v>120</v>
      </c>
      <c r="J370">
        <v>142</v>
      </c>
      <c r="K370">
        <v>0</v>
      </c>
      <c r="L370">
        <v>0</v>
      </c>
      <c r="M370">
        <v>142</v>
      </c>
      <c r="N370">
        <v>5.49</v>
      </c>
      <c r="O370" t="s">
        <v>121</v>
      </c>
      <c r="P370">
        <v>779.21</v>
      </c>
    </row>
    <row r="371" spans="1:16">
      <c r="A371" s="42" t="str">
        <f>VLOOKUP(E371,'Soort voorraad'!A:B,2,FALSE)</f>
        <v>Projectvoorraad</v>
      </c>
      <c r="B371" t="s">
        <v>321</v>
      </c>
      <c r="C371" t="s">
        <v>322</v>
      </c>
      <c r="D371" t="s">
        <v>323</v>
      </c>
      <c r="E371" t="s">
        <v>228</v>
      </c>
      <c r="F371" t="s">
        <v>1062</v>
      </c>
      <c r="G371" t="s">
        <v>2158</v>
      </c>
      <c r="H371">
        <v>220</v>
      </c>
      <c r="I371">
        <v>220</v>
      </c>
      <c r="J371">
        <v>225</v>
      </c>
      <c r="K371">
        <v>0</v>
      </c>
      <c r="L371">
        <v>0</v>
      </c>
      <c r="M371">
        <v>225</v>
      </c>
      <c r="N371">
        <v>2.67</v>
      </c>
      <c r="O371" t="s">
        <v>121</v>
      </c>
      <c r="P371">
        <v>600.48</v>
      </c>
    </row>
    <row r="372" spans="1:16">
      <c r="A372" s="42" t="str">
        <f>VLOOKUP(E372,'Soort voorraad'!A:B,2,FALSE)</f>
        <v>Projectvoorraad</v>
      </c>
      <c r="B372" t="s">
        <v>321</v>
      </c>
      <c r="C372" t="s">
        <v>322</v>
      </c>
      <c r="D372" t="s">
        <v>323</v>
      </c>
      <c r="E372" t="s">
        <v>229</v>
      </c>
      <c r="F372" t="s">
        <v>1063</v>
      </c>
      <c r="G372" t="s">
        <v>2159</v>
      </c>
      <c r="H372">
        <v>120</v>
      </c>
      <c r="I372">
        <v>120</v>
      </c>
      <c r="J372">
        <v>220</v>
      </c>
      <c r="K372">
        <v>0</v>
      </c>
      <c r="L372">
        <v>0</v>
      </c>
      <c r="M372">
        <v>220</v>
      </c>
      <c r="N372">
        <v>3.62</v>
      </c>
      <c r="O372" t="s">
        <v>121</v>
      </c>
      <c r="P372">
        <v>796.11</v>
      </c>
    </row>
    <row r="373" spans="1:16">
      <c r="A373" s="42" t="str">
        <f>VLOOKUP(E373,'Soort voorraad'!A:B,2,FALSE)</f>
        <v>Projectvoorraad</v>
      </c>
      <c r="B373" t="s">
        <v>321</v>
      </c>
      <c r="C373" t="s">
        <v>322</v>
      </c>
      <c r="D373" t="s">
        <v>323</v>
      </c>
      <c r="E373" t="s">
        <v>230</v>
      </c>
      <c r="F373" t="s">
        <v>1064</v>
      </c>
      <c r="G373" t="s">
        <v>2160</v>
      </c>
      <c r="H373">
        <v>120</v>
      </c>
      <c r="I373">
        <v>120</v>
      </c>
      <c r="J373">
        <v>181</v>
      </c>
      <c r="K373">
        <v>0</v>
      </c>
      <c r="L373">
        <v>0</v>
      </c>
      <c r="M373">
        <v>181</v>
      </c>
      <c r="N373">
        <v>4.46</v>
      </c>
      <c r="O373" t="s">
        <v>121</v>
      </c>
      <c r="P373">
        <v>806.7</v>
      </c>
    </row>
    <row r="374" spans="1:16">
      <c r="A374" s="42" t="str">
        <f>VLOOKUP(E374,'Soort voorraad'!A:B,2,FALSE)</f>
        <v>Grijpvoorraad</v>
      </c>
      <c r="B374" t="s">
        <v>321</v>
      </c>
      <c r="C374" t="s">
        <v>322</v>
      </c>
      <c r="D374" t="s">
        <v>323</v>
      </c>
      <c r="E374" t="s">
        <v>686</v>
      </c>
      <c r="F374" t="s">
        <v>687</v>
      </c>
      <c r="G374" t="s">
        <v>2161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0.42</v>
      </c>
      <c r="O374" t="s">
        <v>121</v>
      </c>
      <c r="P374">
        <v>0</v>
      </c>
    </row>
    <row r="375" spans="1:16">
      <c r="A375" s="42" t="str">
        <f>VLOOKUP(E375,'Soort voorraad'!A:B,2,FALSE)</f>
        <v>Grijpvoorraad</v>
      </c>
      <c r="B375" t="s">
        <v>321</v>
      </c>
      <c r="C375" t="s">
        <v>322</v>
      </c>
      <c r="D375" t="s">
        <v>323</v>
      </c>
      <c r="E375" t="s">
        <v>688</v>
      </c>
      <c r="F375" t="s">
        <v>689</v>
      </c>
      <c r="G375" t="s">
        <v>2162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1.73</v>
      </c>
      <c r="O375" t="s">
        <v>121</v>
      </c>
      <c r="P375">
        <v>0</v>
      </c>
    </row>
    <row r="376" spans="1:16">
      <c r="A376" s="42" t="str">
        <f>VLOOKUP(E376,'Soort voorraad'!A:B,2,FALSE)</f>
        <v>Grijpvoorraad</v>
      </c>
      <c r="B376" t="s">
        <v>321</v>
      </c>
      <c r="C376" t="s">
        <v>322</v>
      </c>
      <c r="D376" t="s">
        <v>323</v>
      </c>
      <c r="E376" t="s">
        <v>1831</v>
      </c>
      <c r="F376" t="s">
        <v>1832</v>
      </c>
      <c r="G376" t="s">
        <v>2163</v>
      </c>
      <c r="H376">
        <v>6</v>
      </c>
      <c r="I376">
        <v>2</v>
      </c>
      <c r="J376">
        <v>9</v>
      </c>
      <c r="K376">
        <v>0</v>
      </c>
      <c r="L376">
        <v>0</v>
      </c>
      <c r="M376">
        <v>9</v>
      </c>
      <c r="N376">
        <v>9.7100000000000009</v>
      </c>
      <c r="O376" t="s">
        <v>121</v>
      </c>
      <c r="P376">
        <v>87.39</v>
      </c>
    </row>
    <row r="377" spans="1:16">
      <c r="A377" s="42" t="str">
        <f>VLOOKUP(E377,'Soort voorraad'!A:B,2,FALSE)</f>
        <v>Grijpvoorraad</v>
      </c>
      <c r="B377" t="s">
        <v>321</v>
      </c>
      <c r="C377" t="s">
        <v>322</v>
      </c>
      <c r="D377" t="s">
        <v>323</v>
      </c>
      <c r="E377" t="s">
        <v>751</v>
      </c>
      <c r="F377" t="s">
        <v>752</v>
      </c>
      <c r="G377" t="s">
        <v>2164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1.24</v>
      </c>
      <c r="O377" t="s">
        <v>121</v>
      </c>
      <c r="P377">
        <v>0</v>
      </c>
    </row>
    <row r="378" spans="1:16">
      <c r="A378" s="42" t="str">
        <f>VLOOKUP(E378,'Soort voorraad'!A:B,2,FALSE)</f>
        <v>Grijpvoorraad</v>
      </c>
      <c r="B378" t="s">
        <v>321</v>
      </c>
      <c r="C378" t="s">
        <v>322</v>
      </c>
      <c r="D378" t="s">
        <v>323</v>
      </c>
      <c r="E378" t="s">
        <v>753</v>
      </c>
      <c r="F378" t="s">
        <v>754</v>
      </c>
      <c r="G378" t="s">
        <v>2165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0.7</v>
      </c>
      <c r="O378" t="s">
        <v>121</v>
      </c>
      <c r="P378">
        <v>0</v>
      </c>
    </row>
    <row r="379" spans="1:16">
      <c r="A379" s="42" t="str">
        <f>VLOOKUP(E379,'Soort voorraad'!A:B,2,FALSE)</f>
        <v>Grijpvoorraad</v>
      </c>
      <c r="B379" t="s">
        <v>321</v>
      </c>
      <c r="C379" t="s">
        <v>322</v>
      </c>
      <c r="D379" t="s">
        <v>323</v>
      </c>
      <c r="E379" t="s">
        <v>755</v>
      </c>
      <c r="F379" t="s">
        <v>756</v>
      </c>
      <c r="G379" t="s">
        <v>2166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1</v>
      </c>
      <c r="O379" t="s">
        <v>121</v>
      </c>
      <c r="P379">
        <v>0</v>
      </c>
    </row>
    <row r="380" spans="1:16">
      <c r="A380" s="42" t="str">
        <f>VLOOKUP(E380,'Soort voorraad'!A:B,2,FALSE)</f>
        <v>Grijpvoorraad</v>
      </c>
      <c r="B380" t="s">
        <v>321</v>
      </c>
      <c r="C380" t="s">
        <v>322</v>
      </c>
      <c r="D380" t="s">
        <v>323</v>
      </c>
      <c r="E380" t="s">
        <v>757</v>
      </c>
      <c r="F380" t="s">
        <v>758</v>
      </c>
      <c r="G380" t="s">
        <v>2167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2.69</v>
      </c>
      <c r="O380" t="s">
        <v>121</v>
      </c>
      <c r="P380">
        <v>0</v>
      </c>
    </row>
    <row r="381" spans="1:16">
      <c r="A381" s="42" t="str">
        <f>VLOOKUP(E381,'Soort voorraad'!A:B,2,FALSE)</f>
        <v>Grijpvoorraad</v>
      </c>
      <c r="B381" t="s">
        <v>321</v>
      </c>
      <c r="C381" t="s">
        <v>322</v>
      </c>
      <c r="D381" t="s">
        <v>323</v>
      </c>
      <c r="E381" t="s">
        <v>759</v>
      </c>
      <c r="F381" t="s">
        <v>760</v>
      </c>
      <c r="G381" t="s">
        <v>2168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4.97</v>
      </c>
      <c r="O381" t="s">
        <v>121</v>
      </c>
      <c r="P381">
        <v>0</v>
      </c>
    </row>
    <row r="382" spans="1:16">
      <c r="A382" s="42" t="str">
        <f>VLOOKUP(E382,'Soort voorraad'!A:B,2,FALSE)</f>
        <v>Grijpvoorraad</v>
      </c>
      <c r="B382" t="s">
        <v>321</v>
      </c>
      <c r="C382" t="s">
        <v>322</v>
      </c>
      <c r="D382" t="s">
        <v>323</v>
      </c>
      <c r="E382" t="s">
        <v>761</v>
      </c>
      <c r="F382" t="s">
        <v>762</v>
      </c>
      <c r="G382" t="s">
        <v>2169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2.34</v>
      </c>
      <c r="O382" t="s">
        <v>121</v>
      </c>
      <c r="P382">
        <v>0</v>
      </c>
    </row>
    <row r="383" spans="1:16">
      <c r="A383" s="42" t="str">
        <f>VLOOKUP(E383,'Soort voorraad'!A:B,2,FALSE)</f>
        <v>Grijpvoorraad</v>
      </c>
      <c r="B383" t="s">
        <v>321</v>
      </c>
      <c r="C383" t="s">
        <v>322</v>
      </c>
      <c r="D383" t="s">
        <v>323</v>
      </c>
      <c r="E383" t="s">
        <v>763</v>
      </c>
      <c r="F383" t="s">
        <v>764</v>
      </c>
      <c r="G383" t="s">
        <v>2170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4.2699999999999996</v>
      </c>
      <c r="O383" t="s">
        <v>121</v>
      </c>
      <c r="P383">
        <v>0</v>
      </c>
    </row>
    <row r="384" spans="1:16">
      <c r="A384" s="42" t="str">
        <f>VLOOKUP(E384,'Soort voorraad'!A:B,2,FALSE)</f>
        <v>Grijpvoorraad</v>
      </c>
      <c r="B384" t="s">
        <v>321</v>
      </c>
      <c r="C384" t="s">
        <v>322</v>
      </c>
      <c r="D384" t="s">
        <v>323</v>
      </c>
      <c r="E384" t="s">
        <v>765</v>
      </c>
      <c r="F384" t="s">
        <v>766</v>
      </c>
      <c r="G384" t="s">
        <v>2171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8.5399999999999991</v>
      </c>
      <c r="O384" t="s">
        <v>121</v>
      </c>
      <c r="P384">
        <v>0</v>
      </c>
    </row>
    <row r="385" spans="1:16">
      <c r="A385" s="42" t="str">
        <f>VLOOKUP(E385,'Soort voorraad'!A:B,2,FALSE)</f>
        <v>Grijpvoorraad</v>
      </c>
      <c r="B385" t="s">
        <v>321</v>
      </c>
      <c r="C385" t="s">
        <v>322</v>
      </c>
      <c r="D385" t="s">
        <v>323</v>
      </c>
      <c r="E385" t="s">
        <v>767</v>
      </c>
      <c r="F385" t="s">
        <v>768</v>
      </c>
      <c r="G385" t="s">
        <v>2172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6.12</v>
      </c>
      <c r="O385" t="s">
        <v>121</v>
      </c>
      <c r="P385">
        <v>0</v>
      </c>
    </row>
    <row r="386" spans="1:16">
      <c r="A386" s="42" t="str">
        <f>VLOOKUP(E386,'Soort voorraad'!A:B,2,FALSE)</f>
        <v>Grijpvoorraad</v>
      </c>
      <c r="B386" t="s">
        <v>321</v>
      </c>
      <c r="C386" t="s">
        <v>322</v>
      </c>
      <c r="D386" t="s">
        <v>323</v>
      </c>
      <c r="E386" t="s">
        <v>769</v>
      </c>
      <c r="F386" t="s">
        <v>770</v>
      </c>
      <c r="G386" t="s">
        <v>2173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8.7799999999999994</v>
      </c>
      <c r="O386" t="s">
        <v>121</v>
      </c>
      <c r="P386">
        <v>0</v>
      </c>
    </row>
    <row r="387" spans="1:16">
      <c r="A387" s="42" t="str">
        <f>VLOOKUP(E387,'Soort voorraad'!A:B,2,FALSE)</f>
        <v>Grijpvoorraad</v>
      </c>
      <c r="B387" t="s">
        <v>321</v>
      </c>
      <c r="C387" t="s">
        <v>322</v>
      </c>
      <c r="D387" t="s">
        <v>323</v>
      </c>
      <c r="E387" t="s">
        <v>771</v>
      </c>
      <c r="F387" t="s">
        <v>772</v>
      </c>
      <c r="G387" t="s">
        <v>2174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11.62</v>
      </c>
      <c r="O387" t="s">
        <v>121</v>
      </c>
      <c r="P387">
        <v>0</v>
      </c>
    </row>
    <row r="388" spans="1:16">
      <c r="A388" s="42" t="str">
        <f>VLOOKUP(E388,'Soort voorraad'!A:B,2,FALSE)</f>
        <v>Grijpvoorraad</v>
      </c>
      <c r="B388" t="s">
        <v>321</v>
      </c>
      <c r="C388" t="s">
        <v>322</v>
      </c>
      <c r="D388" t="s">
        <v>323</v>
      </c>
      <c r="E388" t="s">
        <v>733</v>
      </c>
      <c r="F388" t="s">
        <v>734</v>
      </c>
      <c r="G388" t="s">
        <v>2175</v>
      </c>
      <c r="H388">
        <v>6</v>
      </c>
      <c r="I388">
        <v>2</v>
      </c>
      <c r="J388">
        <v>5</v>
      </c>
      <c r="K388">
        <v>0</v>
      </c>
      <c r="L388">
        <v>0</v>
      </c>
      <c r="M388">
        <v>5</v>
      </c>
      <c r="N388">
        <v>3.54</v>
      </c>
      <c r="O388" t="s">
        <v>121</v>
      </c>
      <c r="P388">
        <v>17.7</v>
      </c>
    </row>
    <row r="389" spans="1:16">
      <c r="A389" s="42" t="str">
        <f>VLOOKUP(E389,'Soort voorraad'!A:B,2,FALSE)</f>
        <v>Grijpvoorraad</v>
      </c>
      <c r="B389" t="s">
        <v>321</v>
      </c>
      <c r="C389" t="s">
        <v>322</v>
      </c>
      <c r="D389" t="s">
        <v>323</v>
      </c>
      <c r="E389" t="s">
        <v>735</v>
      </c>
      <c r="F389" t="s">
        <v>736</v>
      </c>
      <c r="G389" t="s">
        <v>2176</v>
      </c>
      <c r="H389">
        <v>6</v>
      </c>
      <c r="I389">
        <v>2</v>
      </c>
      <c r="J389">
        <v>8</v>
      </c>
      <c r="K389">
        <v>0</v>
      </c>
      <c r="L389">
        <v>0</v>
      </c>
      <c r="M389">
        <v>8</v>
      </c>
      <c r="N389">
        <v>20.89</v>
      </c>
      <c r="O389" t="s">
        <v>121</v>
      </c>
      <c r="P389">
        <v>167.1</v>
      </c>
    </row>
    <row r="390" spans="1:16">
      <c r="A390" s="42" t="str">
        <f>VLOOKUP(E390,'Soort voorraad'!A:B,2,FALSE)</f>
        <v>Grijpvoorraad</v>
      </c>
      <c r="B390" t="s">
        <v>321</v>
      </c>
      <c r="C390" t="s">
        <v>322</v>
      </c>
      <c r="D390" t="s">
        <v>323</v>
      </c>
      <c r="E390" t="s">
        <v>737</v>
      </c>
      <c r="F390" t="s">
        <v>738</v>
      </c>
      <c r="G390" t="s">
        <v>2177</v>
      </c>
      <c r="H390">
        <v>12</v>
      </c>
      <c r="I390">
        <v>3</v>
      </c>
      <c r="J390">
        <v>0</v>
      </c>
      <c r="K390">
        <v>0</v>
      </c>
      <c r="L390">
        <v>0</v>
      </c>
      <c r="M390">
        <v>0</v>
      </c>
      <c r="N390">
        <v>8.23</v>
      </c>
      <c r="O390" t="s">
        <v>121</v>
      </c>
      <c r="P390">
        <v>0</v>
      </c>
    </row>
    <row r="391" spans="1:16">
      <c r="A391" s="42" t="str">
        <f>VLOOKUP(E391,'Soort voorraad'!A:B,2,FALSE)</f>
        <v>Grijpvoorraad</v>
      </c>
      <c r="B391" t="s">
        <v>321</v>
      </c>
      <c r="C391" t="s">
        <v>322</v>
      </c>
      <c r="D391" t="s">
        <v>323</v>
      </c>
      <c r="E391" t="s">
        <v>739</v>
      </c>
      <c r="F391" t="s">
        <v>740</v>
      </c>
      <c r="G391" t="s">
        <v>2178</v>
      </c>
      <c r="H391">
        <v>12</v>
      </c>
      <c r="I391">
        <v>1</v>
      </c>
      <c r="J391">
        <v>12</v>
      </c>
      <c r="K391">
        <v>0</v>
      </c>
      <c r="L391">
        <v>0</v>
      </c>
      <c r="M391">
        <v>12</v>
      </c>
      <c r="N391">
        <v>4.13</v>
      </c>
      <c r="O391" t="s">
        <v>121</v>
      </c>
      <c r="P391">
        <v>49.56</v>
      </c>
    </row>
    <row r="392" spans="1:16">
      <c r="A392" s="42" t="str">
        <f>VLOOKUP(E392,'Soort voorraad'!A:B,2,FALSE)</f>
        <v>Grijpvoorraad</v>
      </c>
      <c r="B392" t="s">
        <v>321</v>
      </c>
      <c r="C392" t="s">
        <v>322</v>
      </c>
      <c r="D392" t="s">
        <v>323</v>
      </c>
      <c r="E392" t="s">
        <v>741</v>
      </c>
      <c r="F392" t="s">
        <v>742</v>
      </c>
      <c r="G392" t="s">
        <v>2179</v>
      </c>
      <c r="H392">
        <v>12</v>
      </c>
      <c r="I392">
        <v>1</v>
      </c>
      <c r="J392">
        <v>12</v>
      </c>
      <c r="K392">
        <v>24</v>
      </c>
      <c r="L392">
        <v>0</v>
      </c>
      <c r="M392">
        <v>36</v>
      </c>
      <c r="N392">
        <v>4.13</v>
      </c>
      <c r="O392" t="s">
        <v>121</v>
      </c>
      <c r="P392">
        <v>49.56</v>
      </c>
    </row>
    <row r="393" spans="1:16">
      <c r="A393" s="42" t="str">
        <f>VLOOKUP(E393,'Soort voorraad'!A:B,2,FALSE)</f>
        <v>Grijpvoorraad</v>
      </c>
      <c r="B393" t="s">
        <v>321</v>
      </c>
      <c r="C393" t="s">
        <v>322</v>
      </c>
      <c r="D393" t="s">
        <v>323</v>
      </c>
      <c r="E393" t="s">
        <v>743</v>
      </c>
      <c r="F393" t="s">
        <v>744</v>
      </c>
      <c r="G393" t="s">
        <v>2180</v>
      </c>
      <c r="H393">
        <v>12</v>
      </c>
      <c r="I393">
        <v>1</v>
      </c>
      <c r="J393">
        <v>12</v>
      </c>
      <c r="K393">
        <v>0</v>
      </c>
      <c r="L393">
        <v>0</v>
      </c>
      <c r="M393">
        <v>12</v>
      </c>
      <c r="N393">
        <v>6.86</v>
      </c>
      <c r="O393" t="s">
        <v>121</v>
      </c>
      <c r="P393">
        <v>82.32</v>
      </c>
    </row>
    <row r="394" spans="1:16">
      <c r="A394" s="42" t="str">
        <f>VLOOKUP(E394,'Soort voorraad'!A:B,2,FALSE)</f>
        <v>Grijpvoorraad</v>
      </c>
      <c r="B394" t="s">
        <v>321</v>
      </c>
      <c r="C394" t="s">
        <v>322</v>
      </c>
      <c r="D394" t="s">
        <v>323</v>
      </c>
      <c r="E394" t="s">
        <v>745</v>
      </c>
      <c r="F394" t="s">
        <v>746</v>
      </c>
      <c r="G394" t="s">
        <v>2181</v>
      </c>
      <c r="H394">
        <v>12</v>
      </c>
      <c r="I394">
        <v>1</v>
      </c>
      <c r="J394">
        <v>12</v>
      </c>
      <c r="K394">
        <v>0</v>
      </c>
      <c r="L394">
        <v>0</v>
      </c>
      <c r="M394">
        <v>12</v>
      </c>
      <c r="N394">
        <v>6.86</v>
      </c>
      <c r="O394" t="s">
        <v>121</v>
      </c>
      <c r="P394">
        <v>82.32</v>
      </c>
    </row>
    <row r="395" spans="1:16">
      <c r="A395" s="42" t="str">
        <f>VLOOKUP(E395,'Soort voorraad'!A:B,2,FALSE)</f>
        <v>Grijpvoorraad</v>
      </c>
      <c r="B395" t="s">
        <v>321</v>
      </c>
      <c r="C395" t="s">
        <v>322</v>
      </c>
      <c r="D395" t="s">
        <v>323</v>
      </c>
      <c r="E395" t="s">
        <v>747</v>
      </c>
      <c r="F395" t="s">
        <v>748</v>
      </c>
      <c r="G395" t="s">
        <v>2182</v>
      </c>
      <c r="H395">
        <v>12</v>
      </c>
      <c r="I395">
        <v>1</v>
      </c>
      <c r="J395">
        <v>12</v>
      </c>
      <c r="K395">
        <v>0</v>
      </c>
      <c r="L395">
        <v>0</v>
      </c>
      <c r="M395">
        <v>12</v>
      </c>
      <c r="N395">
        <v>3.1</v>
      </c>
      <c r="O395" t="s">
        <v>121</v>
      </c>
      <c r="P395">
        <v>37.200000000000003</v>
      </c>
    </row>
    <row r="396" spans="1:16">
      <c r="A396" s="42" t="str">
        <f>VLOOKUP(E396,'Soort voorraad'!A:B,2,FALSE)</f>
        <v>Grijpvoorraad</v>
      </c>
      <c r="B396" t="s">
        <v>321</v>
      </c>
      <c r="C396" t="s">
        <v>322</v>
      </c>
      <c r="D396" t="s">
        <v>323</v>
      </c>
      <c r="E396" t="s">
        <v>749</v>
      </c>
      <c r="F396" t="s">
        <v>750</v>
      </c>
      <c r="G396" t="s">
        <v>2183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0.61</v>
      </c>
      <c r="O396" t="s">
        <v>121</v>
      </c>
      <c r="P396">
        <v>0</v>
      </c>
    </row>
    <row r="397" spans="1:16">
      <c r="A397" s="42" t="str">
        <f>VLOOKUP(E397,'Soort voorraad'!A:B,2,FALSE)</f>
        <v>Grijpvoorraad</v>
      </c>
      <c r="B397" t="s">
        <v>321</v>
      </c>
      <c r="C397" t="s">
        <v>322</v>
      </c>
      <c r="D397" t="s">
        <v>323</v>
      </c>
      <c r="E397" t="s">
        <v>773</v>
      </c>
      <c r="F397" t="s">
        <v>774</v>
      </c>
      <c r="G397" t="s">
        <v>2184</v>
      </c>
      <c r="H397">
        <v>5</v>
      </c>
      <c r="I397">
        <v>1</v>
      </c>
      <c r="J397">
        <v>3</v>
      </c>
      <c r="K397">
        <v>0</v>
      </c>
      <c r="L397">
        <v>0</v>
      </c>
      <c r="M397">
        <v>3</v>
      </c>
      <c r="N397">
        <v>1.56</v>
      </c>
      <c r="O397" t="s">
        <v>328</v>
      </c>
      <c r="P397">
        <v>4.6900000000000004</v>
      </c>
    </row>
    <row r="398" spans="1:16">
      <c r="A398" s="42" t="str">
        <f>VLOOKUP(E398,'Soort voorraad'!A:B,2,FALSE)</f>
        <v>Grijpvoorraad</v>
      </c>
      <c r="B398" t="s">
        <v>321</v>
      </c>
      <c r="C398" t="s">
        <v>322</v>
      </c>
      <c r="D398" t="s">
        <v>323</v>
      </c>
      <c r="E398" t="s">
        <v>789</v>
      </c>
      <c r="F398" t="s">
        <v>790</v>
      </c>
      <c r="G398" t="s">
        <v>2185</v>
      </c>
      <c r="H398">
        <v>5</v>
      </c>
      <c r="I398">
        <v>2</v>
      </c>
      <c r="J398">
        <v>6</v>
      </c>
      <c r="K398">
        <v>0</v>
      </c>
      <c r="L398">
        <v>0</v>
      </c>
      <c r="M398">
        <v>6</v>
      </c>
      <c r="N398">
        <v>2.82</v>
      </c>
      <c r="O398" t="s">
        <v>328</v>
      </c>
      <c r="P398">
        <v>16.89</v>
      </c>
    </row>
    <row r="399" spans="1:16">
      <c r="A399" s="42" t="str">
        <f>VLOOKUP(E399,'Soort voorraad'!A:B,2,FALSE)</f>
        <v>Grijpvoorraad</v>
      </c>
      <c r="B399" t="s">
        <v>321</v>
      </c>
      <c r="C399" t="s">
        <v>322</v>
      </c>
      <c r="D399" t="s">
        <v>323</v>
      </c>
      <c r="E399" t="s">
        <v>791</v>
      </c>
      <c r="F399" t="s">
        <v>792</v>
      </c>
      <c r="G399" t="s">
        <v>2186</v>
      </c>
      <c r="H399">
        <v>2</v>
      </c>
      <c r="I399">
        <v>1</v>
      </c>
      <c r="J399">
        <v>6</v>
      </c>
      <c r="K399">
        <v>0</v>
      </c>
      <c r="L399">
        <v>0</v>
      </c>
      <c r="M399">
        <v>6</v>
      </c>
      <c r="N399">
        <v>28.26</v>
      </c>
      <c r="O399" t="s">
        <v>328</v>
      </c>
      <c r="P399">
        <v>169.56</v>
      </c>
    </row>
    <row r="400" spans="1:16">
      <c r="A400" s="42" t="str">
        <f>VLOOKUP(E400,'Soort voorraad'!A:B,2,FALSE)</f>
        <v>Grijpvoorraad</v>
      </c>
      <c r="B400" t="s">
        <v>321</v>
      </c>
      <c r="C400" t="s">
        <v>322</v>
      </c>
      <c r="D400" t="s">
        <v>323</v>
      </c>
      <c r="E400" t="s">
        <v>793</v>
      </c>
      <c r="F400" t="s">
        <v>794</v>
      </c>
      <c r="G400" t="s">
        <v>2187</v>
      </c>
      <c r="H400">
        <v>5</v>
      </c>
      <c r="I400">
        <v>2</v>
      </c>
      <c r="J400">
        <v>2</v>
      </c>
      <c r="K400">
        <v>0</v>
      </c>
      <c r="L400">
        <v>0</v>
      </c>
      <c r="M400">
        <v>2</v>
      </c>
      <c r="N400">
        <v>4.7699999999999996</v>
      </c>
      <c r="O400" t="s">
        <v>328</v>
      </c>
      <c r="P400">
        <v>9.5299999999999994</v>
      </c>
    </row>
    <row r="401" spans="1:16">
      <c r="A401" s="42" t="str">
        <f>VLOOKUP(E401,'Soort voorraad'!A:B,2,FALSE)</f>
        <v>Grijpvoorraad</v>
      </c>
      <c r="B401" t="s">
        <v>321</v>
      </c>
      <c r="C401" t="s">
        <v>322</v>
      </c>
      <c r="D401" t="s">
        <v>323</v>
      </c>
      <c r="E401" t="s">
        <v>795</v>
      </c>
      <c r="F401" t="s">
        <v>796</v>
      </c>
      <c r="G401" t="s">
        <v>2188</v>
      </c>
      <c r="H401">
        <v>2</v>
      </c>
      <c r="I401">
        <v>1</v>
      </c>
      <c r="J401">
        <v>2</v>
      </c>
      <c r="K401">
        <v>0</v>
      </c>
      <c r="L401">
        <v>0</v>
      </c>
      <c r="M401">
        <v>2</v>
      </c>
      <c r="N401">
        <v>14.13</v>
      </c>
      <c r="O401" t="s">
        <v>328</v>
      </c>
      <c r="P401">
        <v>28.25</v>
      </c>
    </row>
    <row r="402" spans="1:16">
      <c r="A402" s="42" t="str">
        <f>VLOOKUP(E402,'Soort voorraad'!A:B,2,FALSE)</f>
        <v>Grijpvoorraad</v>
      </c>
      <c r="B402" t="s">
        <v>321</v>
      </c>
      <c r="C402" t="s">
        <v>322</v>
      </c>
      <c r="D402" t="s">
        <v>323</v>
      </c>
      <c r="E402" t="s">
        <v>797</v>
      </c>
      <c r="F402" t="s">
        <v>1677</v>
      </c>
      <c r="G402" t="s">
        <v>2189</v>
      </c>
      <c r="H402">
        <v>5</v>
      </c>
      <c r="I402">
        <v>2</v>
      </c>
      <c r="J402">
        <v>4</v>
      </c>
      <c r="K402">
        <v>2</v>
      </c>
      <c r="L402">
        <v>0</v>
      </c>
      <c r="M402">
        <v>6</v>
      </c>
      <c r="N402">
        <v>3.76</v>
      </c>
      <c r="O402" t="s">
        <v>328</v>
      </c>
      <c r="P402">
        <v>15.05</v>
      </c>
    </row>
    <row r="403" spans="1:16">
      <c r="A403" s="42" t="str">
        <f>VLOOKUP(E403,'Soort voorraad'!A:B,2,FALSE)</f>
        <v>Grijpvoorraad</v>
      </c>
      <c r="B403" t="s">
        <v>321</v>
      </c>
      <c r="C403" t="s">
        <v>322</v>
      </c>
      <c r="D403" t="s">
        <v>323</v>
      </c>
      <c r="E403" t="s">
        <v>798</v>
      </c>
      <c r="F403" t="s">
        <v>799</v>
      </c>
      <c r="G403" t="s">
        <v>2190</v>
      </c>
      <c r="H403">
        <v>5</v>
      </c>
      <c r="I403">
        <v>2</v>
      </c>
      <c r="J403">
        <v>6</v>
      </c>
      <c r="K403">
        <v>2</v>
      </c>
      <c r="L403">
        <v>0</v>
      </c>
      <c r="M403">
        <v>8</v>
      </c>
      <c r="N403">
        <v>5.28</v>
      </c>
      <c r="O403" t="s">
        <v>328</v>
      </c>
      <c r="P403">
        <v>31.68</v>
      </c>
    </row>
    <row r="404" spans="1:16">
      <c r="A404" s="42" t="str">
        <f>VLOOKUP(E404,'Soort voorraad'!A:B,2,FALSE)</f>
        <v>Grijpvoorraad</v>
      </c>
      <c r="B404" t="s">
        <v>321</v>
      </c>
      <c r="C404" t="s">
        <v>322</v>
      </c>
      <c r="D404" t="s">
        <v>323</v>
      </c>
      <c r="E404" t="s">
        <v>800</v>
      </c>
      <c r="F404" t="s">
        <v>801</v>
      </c>
      <c r="G404" t="s">
        <v>2191</v>
      </c>
      <c r="H404">
        <v>5</v>
      </c>
      <c r="I404">
        <v>2</v>
      </c>
      <c r="J404">
        <v>4</v>
      </c>
      <c r="K404">
        <v>0</v>
      </c>
      <c r="L404">
        <v>0</v>
      </c>
      <c r="M404">
        <v>4</v>
      </c>
      <c r="N404">
        <v>6.76</v>
      </c>
      <c r="O404" t="s">
        <v>328</v>
      </c>
      <c r="P404">
        <v>27.04</v>
      </c>
    </row>
    <row r="405" spans="1:16">
      <c r="A405" s="42" t="str">
        <f>VLOOKUP(E405,'Soort voorraad'!A:B,2,FALSE)</f>
        <v>Grijpvoorraad</v>
      </c>
      <c r="B405" t="s">
        <v>321</v>
      </c>
      <c r="C405" t="s">
        <v>322</v>
      </c>
      <c r="D405" t="s">
        <v>323</v>
      </c>
      <c r="E405" t="s">
        <v>802</v>
      </c>
      <c r="F405" t="s">
        <v>803</v>
      </c>
      <c r="G405" t="s">
        <v>2192</v>
      </c>
      <c r="H405">
        <v>5</v>
      </c>
      <c r="I405">
        <v>2</v>
      </c>
      <c r="J405">
        <v>2</v>
      </c>
      <c r="K405">
        <v>0</v>
      </c>
      <c r="L405">
        <v>0</v>
      </c>
      <c r="M405">
        <v>2</v>
      </c>
      <c r="N405">
        <v>7.4</v>
      </c>
      <c r="O405" t="s">
        <v>328</v>
      </c>
      <c r="P405">
        <v>14.79</v>
      </c>
    </row>
    <row r="406" spans="1:16">
      <c r="A406" s="42" t="str">
        <f>VLOOKUP(E406,'Soort voorraad'!A:B,2,FALSE)</f>
        <v>Grijpvoorraad</v>
      </c>
      <c r="B406" t="s">
        <v>321</v>
      </c>
      <c r="C406" t="s">
        <v>322</v>
      </c>
      <c r="D406" t="s">
        <v>323</v>
      </c>
      <c r="E406" t="s">
        <v>804</v>
      </c>
      <c r="F406" t="s">
        <v>805</v>
      </c>
      <c r="G406" t="s">
        <v>2193</v>
      </c>
      <c r="H406">
        <v>3</v>
      </c>
      <c r="I406">
        <v>1</v>
      </c>
      <c r="J406">
        <v>2</v>
      </c>
      <c r="K406">
        <v>0</v>
      </c>
      <c r="L406">
        <v>0</v>
      </c>
      <c r="M406">
        <v>2</v>
      </c>
      <c r="N406">
        <v>85.48</v>
      </c>
      <c r="O406" t="s">
        <v>328</v>
      </c>
      <c r="P406">
        <v>170.96</v>
      </c>
    </row>
    <row r="407" spans="1:16">
      <c r="A407" s="42" t="str">
        <f>VLOOKUP(E407,'Soort voorraad'!A:B,2,FALSE)</f>
        <v>Grijpvoorraad</v>
      </c>
      <c r="B407" t="s">
        <v>321</v>
      </c>
      <c r="C407" t="s">
        <v>322</v>
      </c>
      <c r="D407" t="s">
        <v>323</v>
      </c>
      <c r="E407" t="s">
        <v>806</v>
      </c>
      <c r="F407" t="s">
        <v>807</v>
      </c>
      <c r="G407" t="s">
        <v>2194</v>
      </c>
      <c r="H407">
        <v>3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0.87</v>
      </c>
      <c r="O407" t="s">
        <v>121</v>
      </c>
      <c r="P407">
        <v>0</v>
      </c>
    </row>
    <row r="408" spans="1:16">
      <c r="A408" s="42" t="str">
        <f>VLOOKUP(E408,'Soort voorraad'!A:B,2,FALSE)</f>
        <v>Grijpvoorraad</v>
      </c>
      <c r="B408" t="s">
        <v>321</v>
      </c>
      <c r="C408" t="s">
        <v>322</v>
      </c>
      <c r="D408" t="s">
        <v>323</v>
      </c>
      <c r="E408" t="s">
        <v>808</v>
      </c>
      <c r="F408" t="s">
        <v>809</v>
      </c>
      <c r="G408" t="s">
        <v>2195</v>
      </c>
      <c r="H408">
        <v>250</v>
      </c>
      <c r="I408">
        <v>100</v>
      </c>
      <c r="J408">
        <v>150</v>
      </c>
      <c r="K408">
        <v>0</v>
      </c>
      <c r="L408">
        <v>0</v>
      </c>
      <c r="M408">
        <v>150</v>
      </c>
      <c r="N408">
        <v>0.5</v>
      </c>
      <c r="O408" t="s">
        <v>121</v>
      </c>
      <c r="P408">
        <v>74.900000000000006</v>
      </c>
    </row>
    <row r="409" spans="1:16">
      <c r="A409" s="42" t="str">
        <f>VLOOKUP(E409,'Soort voorraad'!A:B,2,FALSE)</f>
        <v>Grijpvoorraad</v>
      </c>
      <c r="B409" t="s">
        <v>321</v>
      </c>
      <c r="C409" t="s">
        <v>322</v>
      </c>
      <c r="D409" t="s">
        <v>323</v>
      </c>
      <c r="E409" t="s">
        <v>810</v>
      </c>
      <c r="F409" t="s">
        <v>811</v>
      </c>
      <c r="G409" t="s">
        <v>2196</v>
      </c>
      <c r="H409">
        <v>1</v>
      </c>
      <c r="I409">
        <v>1</v>
      </c>
      <c r="J409">
        <v>1</v>
      </c>
      <c r="K409">
        <v>0</v>
      </c>
      <c r="L409">
        <v>0</v>
      </c>
      <c r="M409">
        <v>1</v>
      </c>
      <c r="N409">
        <v>11.59</v>
      </c>
      <c r="O409" t="s">
        <v>328</v>
      </c>
      <c r="P409">
        <v>11.59</v>
      </c>
    </row>
    <row r="410" spans="1:16">
      <c r="A410" s="42" t="str">
        <f>VLOOKUP(E410,'Soort voorraad'!A:B,2,FALSE)</f>
        <v>Grijpvoorraad</v>
      </c>
      <c r="B410" t="s">
        <v>321</v>
      </c>
      <c r="C410" t="s">
        <v>322</v>
      </c>
      <c r="D410" t="s">
        <v>323</v>
      </c>
      <c r="E410" t="s">
        <v>812</v>
      </c>
      <c r="F410" t="s">
        <v>813</v>
      </c>
      <c r="G410" t="s">
        <v>2197</v>
      </c>
      <c r="H410">
        <v>1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51.22</v>
      </c>
      <c r="O410" t="s">
        <v>328</v>
      </c>
      <c r="P410">
        <v>51.22</v>
      </c>
    </row>
    <row r="411" spans="1:16">
      <c r="A411" s="42" t="str">
        <f>VLOOKUP(E411,'Soort voorraad'!A:B,2,FALSE)</f>
        <v>Grijpvoorraad</v>
      </c>
      <c r="B411" t="s">
        <v>321</v>
      </c>
      <c r="C411" t="s">
        <v>322</v>
      </c>
      <c r="D411" t="s">
        <v>323</v>
      </c>
      <c r="E411" t="s">
        <v>814</v>
      </c>
      <c r="F411" t="s">
        <v>815</v>
      </c>
      <c r="G411" t="s">
        <v>2198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58.48</v>
      </c>
      <c r="O411" t="s">
        <v>328</v>
      </c>
      <c r="P411">
        <v>0</v>
      </c>
    </row>
    <row r="412" spans="1:16">
      <c r="A412" s="42" t="str">
        <f>VLOOKUP(E412,'Soort voorraad'!A:B,2,FALSE)</f>
        <v>Grijpvoorraad</v>
      </c>
      <c r="B412" t="s">
        <v>321</v>
      </c>
      <c r="C412" t="s">
        <v>322</v>
      </c>
      <c r="D412" t="s">
        <v>323</v>
      </c>
      <c r="E412" t="s">
        <v>816</v>
      </c>
      <c r="F412" t="s">
        <v>817</v>
      </c>
      <c r="G412" t="s">
        <v>2199</v>
      </c>
      <c r="H412">
        <v>3</v>
      </c>
      <c r="I412">
        <v>1</v>
      </c>
      <c r="J412">
        <v>2</v>
      </c>
      <c r="K412">
        <v>0</v>
      </c>
      <c r="L412">
        <v>0</v>
      </c>
      <c r="M412">
        <v>2</v>
      </c>
      <c r="N412">
        <v>5.99</v>
      </c>
      <c r="O412" t="s">
        <v>328</v>
      </c>
      <c r="P412">
        <v>11.98</v>
      </c>
    </row>
    <row r="413" spans="1:16">
      <c r="A413" s="42" t="str">
        <f>VLOOKUP(E413,'Soort voorraad'!A:B,2,FALSE)</f>
        <v>Grijpvoorraad</v>
      </c>
      <c r="B413" t="s">
        <v>321</v>
      </c>
      <c r="C413" t="s">
        <v>322</v>
      </c>
      <c r="D413" t="s">
        <v>323</v>
      </c>
      <c r="E413" t="s">
        <v>818</v>
      </c>
      <c r="F413" t="s">
        <v>819</v>
      </c>
      <c r="G413" t="s">
        <v>2200</v>
      </c>
      <c r="H413">
        <v>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0.74</v>
      </c>
      <c r="O413" t="s">
        <v>121</v>
      </c>
      <c r="P413">
        <v>0</v>
      </c>
    </row>
    <row r="414" spans="1:16">
      <c r="A414" s="42" t="str">
        <f>VLOOKUP(E414,'Soort voorraad'!A:B,2,FALSE)</f>
        <v>Grijpvoorraad</v>
      </c>
      <c r="B414" t="s">
        <v>321</v>
      </c>
      <c r="C414" t="s">
        <v>322</v>
      </c>
      <c r="D414" t="s">
        <v>323</v>
      </c>
      <c r="E414" t="s">
        <v>820</v>
      </c>
      <c r="F414" t="s">
        <v>821</v>
      </c>
      <c r="G414" t="s">
        <v>2201</v>
      </c>
      <c r="H414">
        <v>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0.66</v>
      </c>
      <c r="O414" t="s">
        <v>121</v>
      </c>
      <c r="P414">
        <v>0</v>
      </c>
    </row>
    <row r="415" spans="1:16">
      <c r="A415" s="42" t="str">
        <f>VLOOKUP(E415,'Soort voorraad'!A:B,2,FALSE)</f>
        <v>Grijpvoorraad</v>
      </c>
      <c r="B415" t="s">
        <v>321</v>
      </c>
      <c r="C415" t="s">
        <v>322</v>
      </c>
      <c r="D415" t="s">
        <v>323</v>
      </c>
      <c r="E415" t="s">
        <v>824</v>
      </c>
      <c r="F415" t="s">
        <v>825</v>
      </c>
      <c r="G415" t="s">
        <v>2202</v>
      </c>
      <c r="H415">
        <v>25</v>
      </c>
      <c r="I415">
        <v>5</v>
      </c>
      <c r="J415">
        <v>50</v>
      </c>
      <c r="K415">
        <v>0</v>
      </c>
      <c r="L415">
        <v>0</v>
      </c>
      <c r="M415">
        <v>50</v>
      </c>
      <c r="N415">
        <v>1.68</v>
      </c>
      <c r="O415" t="s">
        <v>121</v>
      </c>
      <c r="P415">
        <v>84</v>
      </c>
    </row>
    <row r="416" spans="1:16">
      <c r="A416" s="42" t="str">
        <f>VLOOKUP(E416,'Soort voorraad'!A:B,2,FALSE)</f>
        <v>Grijpvoorraad</v>
      </c>
      <c r="B416" t="s">
        <v>321</v>
      </c>
      <c r="C416" t="s">
        <v>322</v>
      </c>
      <c r="D416" t="s">
        <v>323</v>
      </c>
      <c r="E416" t="s">
        <v>826</v>
      </c>
      <c r="F416" t="s">
        <v>827</v>
      </c>
      <c r="G416" t="s">
        <v>2203</v>
      </c>
      <c r="H416">
        <v>3</v>
      </c>
      <c r="I416">
        <v>1</v>
      </c>
      <c r="J416">
        <v>2</v>
      </c>
      <c r="K416">
        <v>0</v>
      </c>
      <c r="L416">
        <v>0</v>
      </c>
      <c r="M416">
        <v>2</v>
      </c>
      <c r="N416">
        <v>7.54</v>
      </c>
      <c r="O416" t="s">
        <v>328</v>
      </c>
      <c r="P416">
        <v>15.07</v>
      </c>
    </row>
    <row r="417" spans="1:16">
      <c r="A417" s="42" t="str">
        <f>VLOOKUP(E417,'Soort voorraad'!A:B,2,FALSE)</f>
        <v>Grijpvoorraad</v>
      </c>
      <c r="B417" t="s">
        <v>321</v>
      </c>
      <c r="C417" t="s">
        <v>322</v>
      </c>
      <c r="D417" t="s">
        <v>323</v>
      </c>
      <c r="E417" t="s">
        <v>775</v>
      </c>
      <c r="F417" t="s">
        <v>776</v>
      </c>
      <c r="G417" t="s">
        <v>2204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68.7</v>
      </c>
      <c r="O417" t="s">
        <v>328</v>
      </c>
      <c r="P417">
        <v>0</v>
      </c>
    </row>
    <row r="418" spans="1:16">
      <c r="A418" s="42" t="str">
        <f>VLOOKUP(E418,'Soort voorraad'!A:B,2,FALSE)</f>
        <v>Grijpvoorraad</v>
      </c>
      <c r="B418" t="s">
        <v>321</v>
      </c>
      <c r="C418" t="s">
        <v>322</v>
      </c>
      <c r="D418" t="s">
        <v>323</v>
      </c>
      <c r="E418" t="s">
        <v>828</v>
      </c>
      <c r="F418" t="s">
        <v>829</v>
      </c>
      <c r="G418" t="s">
        <v>2205</v>
      </c>
      <c r="H418">
        <v>3</v>
      </c>
      <c r="I418">
        <v>1</v>
      </c>
      <c r="J418">
        <v>1</v>
      </c>
      <c r="K418">
        <v>0</v>
      </c>
      <c r="L418">
        <v>0</v>
      </c>
      <c r="M418">
        <v>1</v>
      </c>
      <c r="N418">
        <v>3.61</v>
      </c>
      <c r="O418" t="s">
        <v>328</v>
      </c>
      <c r="P418">
        <v>3.61</v>
      </c>
    </row>
    <row r="419" spans="1:16">
      <c r="A419" s="42" t="str">
        <f>VLOOKUP(E419,'Soort voorraad'!A:B,2,FALSE)</f>
        <v>Grijpvoorraad</v>
      </c>
      <c r="B419" t="s">
        <v>321</v>
      </c>
      <c r="C419" t="s">
        <v>322</v>
      </c>
      <c r="D419" t="s">
        <v>323</v>
      </c>
      <c r="E419" t="s">
        <v>830</v>
      </c>
      <c r="F419" t="s">
        <v>831</v>
      </c>
      <c r="G419" t="s">
        <v>2206</v>
      </c>
      <c r="H419">
        <v>3</v>
      </c>
      <c r="I419">
        <v>1</v>
      </c>
      <c r="J419">
        <v>1</v>
      </c>
      <c r="K419">
        <v>0</v>
      </c>
      <c r="L419">
        <v>0</v>
      </c>
      <c r="M419">
        <v>1</v>
      </c>
      <c r="N419">
        <v>63.38</v>
      </c>
      <c r="O419" t="s">
        <v>328</v>
      </c>
      <c r="P419">
        <v>63.38</v>
      </c>
    </row>
    <row r="420" spans="1:16">
      <c r="A420" s="42" t="str">
        <f>VLOOKUP(E420,'Soort voorraad'!A:B,2,FALSE)</f>
        <v>Grijpvoorraad</v>
      </c>
      <c r="B420" t="s">
        <v>321</v>
      </c>
      <c r="C420" t="s">
        <v>322</v>
      </c>
      <c r="D420" t="s">
        <v>323</v>
      </c>
      <c r="E420" t="s">
        <v>832</v>
      </c>
      <c r="F420" t="s">
        <v>833</v>
      </c>
      <c r="G420" t="s">
        <v>2207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7.55</v>
      </c>
      <c r="O420" t="s">
        <v>328</v>
      </c>
      <c r="P420">
        <v>0</v>
      </c>
    </row>
    <row r="421" spans="1:16">
      <c r="A421" s="42" t="str">
        <f>VLOOKUP(E421,'Soort voorraad'!A:B,2,FALSE)</f>
        <v>Grijpvoorraad</v>
      </c>
      <c r="B421" t="s">
        <v>321</v>
      </c>
      <c r="C421" t="s">
        <v>322</v>
      </c>
      <c r="D421" t="s">
        <v>323</v>
      </c>
      <c r="E421" t="s">
        <v>834</v>
      </c>
      <c r="F421" t="s">
        <v>835</v>
      </c>
      <c r="G421" t="s">
        <v>2208</v>
      </c>
      <c r="H421">
        <v>3</v>
      </c>
      <c r="I421">
        <v>1</v>
      </c>
      <c r="J421">
        <v>1</v>
      </c>
      <c r="K421">
        <v>0</v>
      </c>
      <c r="L421">
        <v>0</v>
      </c>
      <c r="M421">
        <v>1</v>
      </c>
      <c r="N421">
        <v>8.7200000000000006</v>
      </c>
      <c r="O421" t="s">
        <v>328</v>
      </c>
      <c r="P421">
        <v>8.7200000000000006</v>
      </c>
    </row>
    <row r="422" spans="1:16">
      <c r="A422" s="42" t="str">
        <f>VLOOKUP(E422,'Soort voorraad'!A:B,2,FALSE)</f>
        <v>Grijpvoorraad</v>
      </c>
      <c r="B422" t="s">
        <v>321</v>
      </c>
      <c r="C422" t="s">
        <v>322</v>
      </c>
      <c r="D422" t="s">
        <v>323</v>
      </c>
      <c r="E422" t="s">
        <v>836</v>
      </c>
      <c r="F422" t="s">
        <v>1678</v>
      </c>
      <c r="G422" t="s">
        <v>2209</v>
      </c>
      <c r="H422">
        <v>3</v>
      </c>
      <c r="I422">
        <v>1</v>
      </c>
      <c r="J422">
        <v>1</v>
      </c>
      <c r="K422">
        <v>0</v>
      </c>
      <c r="L422">
        <v>0</v>
      </c>
      <c r="M422">
        <v>1</v>
      </c>
      <c r="N422">
        <v>11.78</v>
      </c>
      <c r="O422" t="s">
        <v>328</v>
      </c>
      <c r="P422">
        <v>11.78</v>
      </c>
    </row>
    <row r="423" spans="1:16">
      <c r="A423" s="42" t="str">
        <f>VLOOKUP(E423,'Soort voorraad'!A:B,2,FALSE)</f>
        <v>Grijpvoorraad</v>
      </c>
      <c r="B423" t="s">
        <v>321</v>
      </c>
      <c r="C423" t="s">
        <v>322</v>
      </c>
      <c r="D423" t="s">
        <v>323</v>
      </c>
      <c r="E423" t="s">
        <v>837</v>
      </c>
      <c r="F423" t="s">
        <v>838</v>
      </c>
      <c r="G423" t="s">
        <v>2210</v>
      </c>
      <c r="H423">
        <v>3</v>
      </c>
      <c r="I423">
        <v>1</v>
      </c>
      <c r="J423">
        <v>3</v>
      </c>
      <c r="K423">
        <v>0</v>
      </c>
      <c r="L423">
        <v>0</v>
      </c>
      <c r="M423">
        <v>3</v>
      </c>
      <c r="N423">
        <v>15.12</v>
      </c>
      <c r="O423" t="s">
        <v>328</v>
      </c>
      <c r="P423">
        <v>45.36</v>
      </c>
    </row>
    <row r="424" spans="1:16">
      <c r="A424" s="42" t="str">
        <f>VLOOKUP(E424,'Soort voorraad'!A:B,2,FALSE)</f>
        <v>Grijpvoorraad</v>
      </c>
      <c r="B424" t="s">
        <v>321</v>
      </c>
      <c r="C424" t="s">
        <v>322</v>
      </c>
      <c r="D424" t="s">
        <v>323</v>
      </c>
      <c r="E424" t="s">
        <v>839</v>
      </c>
      <c r="F424" t="s">
        <v>840</v>
      </c>
      <c r="G424" t="s">
        <v>2211</v>
      </c>
      <c r="H424">
        <v>3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12.79</v>
      </c>
      <c r="O424" t="s">
        <v>328</v>
      </c>
      <c r="P424">
        <v>12.79</v>
      </c>
    </row>
    <row r="425" spans="1:16">
      <c r="A425" s="42" t="str">
        <f>VLOOKUP(E425,'Soort voorraad'!A:B,2,FALSE)</f>
        <v>Grijpvoorraad</v>
      </c>
      <c r="B425" t="s">
        <v>321</v>
      </c>
      <c r="C425" t="s">
        <v>322</v>
      </c>
      <c r="D425" t="s">
        <v>323</v>
      </c>
      <c r="E425" t="s">
        <v>841</v>
      </c>
      <c r="F425" t="s">
        <v>842</v>
      </c>
      <c r="G425" t="s">
        <v>2212</v>
      </c>
      <c r="H425">
        <v>3</v>
      </c>
      <c r="I425">
        <v>1</v>
      </c>
      <c r="J425">
        <v>3</v>
      </c>
      <c r="K425">
        <v>0</v>
      </c>
      <c r="L425">
        <v>0</v>
      </c>
      <c r="M425">
        <v>3</v>
      </c>
      <c r="N425">
        <v>45.64</v>
      </c>
      <c r="O425" t="s">
        <v>328</v>
      </c>
      <c r="P425">
        <v>136.91999999999999</v>
      </c>
    </row>
    <row r="426" spans="1:16">
      <c r="A426" s="42" t="str">
        <f>VLOOKUP(E426,'Soort voorraad'!A:B,2,FALSE)</f>
        <v>Grijpvoorraad</v>
      </c>
      <c r="B426" t="s">
        <v>321</v>
      </c>
      <c r="C426" t="s">
        <v>322</v>
      </c>
      <c r="D426" t="s">
        <v>323</v>
      </c>
      <c r="E426" t="s">
        <v>843</v>
      </c>
      <c r="F426" t="s">
        <v>844</v>
      </c>
      <c r="G426" t="s">
        <v>2213</v>
      </c>
      <c r="H426">
        <v>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90.3</v>
      </c>
      <c r="O426" t="s">
        <v>328</v>
      </c>
      <c r="P426">
        <v>0</v>
      </c>
    </row>
    <row r="427" spans="1:16">
      <c r="A427" s="42" t="str">
        <f>VLOOKUP(E427,'Soort voorraad'!A:B,2,FALSE)</f>
        <v>Grijpvoorraad</v>
      </c>
      <c r="B427" t="s">
        <v>321</v>
      </c>
      <c r="C427" t="s">
        <v>322</v>
      </c>
      <c r="D427" t="s">
        <v>323</v>
      </c>
      <c r="E427" t="s">
        <v>845</v>
      </c>
      <c r="F427" t="s">
        <v>846</v>
      </c>
      <c r="G427" t="s">
        <v>2214</v>
      </c>
      <c r="H427">
        <v>3</v>
      </c>
      <c r="I427">
        <v>1</v>
      </c>
      <c r="J427">
        <v>2</v>
      </c>
      <c r="K427">
        <v>0</v>
      </c>
      <c r="L427">
        <v>0</v>
      </c>
      <c r="M427">
        <v>2</v>
      </c>
      <c r="N427">
        <v>7.62</v>
      </c>
      <c r="O427" t="s">
        <v>328</v>
      </c>
      <c r="P427">
        <v>15.24</v>
      </c>
    </row>
    <row r="428" spans="1:16">
      <c r="A428" s="42" t="str">
        <f>VLOOKUP(E428,'Soort voorraad'!A:B,2,FALSE)</f>
        <v>Grijpvoorraad</v>
      </c>
      <c r="B428" t="s">
        <v>321</v>
      </c>
      <c r="C428" t="s">
        <v>322</v>
      </c>
      <c r="D428" t="s">
        <v>323</v>
      </c>
      <c r="E428" t="s">
        <v>847</v>
      </c>
      <c r="F428" t="s">
        <v>848</v>
      </c>
      <c r="G428" t="s">
        <v>2215</v>
      </c>
      <c r="H428">
        <v>3</v>
      </c>
      <c r="I428">
        <v>1</v>
      </c>
      <c r="J428">
        <v>4</v>
      </c>
      <c r="K428">
        <v>0</v>
      </c>
      <c r="L428">
        <v>0</v>
      </c>
      <c r="M428">
        <v>4</v>
      </c>
      <c r="N428">
        <v>10.94</v>
      </c>
      <c r="O428" t="s">
        <v>328</v>
      </c>
      <c r="P428">
        <v>43.76</v>
      </c>
    </row>
    <row r="429" spans="1:16">
      <c r="A429" s="42" t="str">
        <f>VLOOKUP(E429,'Soort voorraad'!A:B,2,FALSE)</f>
        <v>Grijpvoorraad</v>
      </c>
      <c r="B429" t="s">
        <v>321</v>
      </c>
      <c r="C429" t="s">
        <v>322</v>
      </c>
      <c r="D429" t="s">
        <v>323</v>
      </c>
      <c r="E429" t="s">
        <v>849</v>
      </c>
      <c r="F429" t="s">
        <v>850</v>
      </c>
      <c r="G429" t="s">
        <v>2216</v>
      </c>
      <c r="H429">
        <v>3</v>
      </c>
      <c r="I429">
        <v>1</v>
      </c>
      <c r="J429">
        <v>1</v>
      </c>
      <c r="K429">
        <v>0</v>
      </c>
      <c r="L429">
        <v>0</v>
      </c>
      <c r="M429">
        <v>1</v>
      </c>
      <c r="N429">
        <v>14.1</v>
      </c>
      <c r="O429" t="s">
        <v>328</v>
      </c>
      <c r="P429">
        <v>14.1</v>
      </c>
    </row>
    <row r="430" spans="1:16">
      <c r="A430" s="42" t="str">
        <f>VLOOKUP(E430,'Soort voorraad'!A:B,2,FALSE)</f>
        <v>Grijpvoorraad</v>
      </c>
      <c r="B430" t="s">
        <v>321</v>
      </c>
      <c r="C430" t="s">
        <v>322</v>
      </c>
      <c r="D430" t="s">
        <v>323</v>
      </c>
      <c r="E430" t="s">
        <v>851</v>
      </c>
      <c r="F430" t="s">
        <v>852</v>
      </c>
      <c r="G430" t="s">
        <v>2217</v>
      </c>
      <c r="H430">
        <v>3</v>
      </c>
      <c r="I430">
        <v>1</v>
      </c>
      <c r="J430">
        <v>1</v>
      </c>
      <c r="K430">
        <v>0</v>
      </c>
      <c r="L430">
        <v>0</v>
      </c>
      <c r="M430">
        <v>1</v>
      </c>
      <c r="N430">
        <v>9.01</v>
      </c>
      <c r="O430" t="s">
        <v>328</v>
      </c>
      <c r="P430">
        <v>9.01</v>
      </c>
    </row>
    <row r="431" spans="1:16">
      <c r="A431" s="42" t="str">
        <f>VLOOKUP(E431,'Soort voorraad'!A:B,2,FALSE)</f>
        <v>Grijpvoorraad</v>
      </c>
      <c r="B431" t="s">
        <v>321</v>
      </c>
      <c r="C431" t="s">
        <v>322</v>
      </c>
      <c r="D431" t="s">
        <v>323</v>
      </c>
      <c r="E431" t="s">
        <v>779</v>
      </c>
      <c r="F431" t="s">
        <v>780</v>
      </c>
      <c r="G431" t="s">
        <v>2218</v>
      </c>
      <c r="H431">
        <v>5</v>
      </c>
      <c r="I431">
        <v>1</v>
      </c>
      <c r="J431">
        <v>4</v>
      </c>
      <c r="K431">
        <v>0</v>
      </c>
      <c r="L431">
        <v>0</v>
      </c>
      <c r="M431">
        <v>4</v>
      </c>
      <c r="N431">
        <v>22.11</v>
      </c>
      <c r="O431" t="s">
        <v>328</v>
      </c>
      <c r="P431">
        <v>88.44</v>
      </c>
    </row>
    <row r="432" spans="1:16">
      <c r="A432" s="42" t="str">
        <f>VLOOKUP(E432,'Soort voorraad'!A:B,2,FALSE)</f>
        <v>Grijpvoorraad</v>
      </c>
      <c r="B432" t="s">
        <v>321</v>
      </c>
      <c r="C432" t="s">
        <v>322</v>
      </c>
      <c r="D432" t="s">
        <v>323</v>
      </c>
      <c r="E432" t="s">
        <v>781</v>
      </c>
      <c r="F432" t="s">
        <v>782</v>
      </c>
      <c r="G432" t="s">
        <v>2219</v>
      </c>
      <c r="H432">
        <v>3</v>
      </c>
      <c r="I432">
        <v>1</v>
      </c>
      <c r="J432">
        <v>6</v>
      </c>
      <c r="K432">
        <v>0</v>
      </c>
      <c r="L432">
        <v>0</v>
      </c>
      <c r="M432">
        <v>6</v>
      </c>
      <c r="N432">
        <v>23.53</v>
      </c>
      <c r="O432" t="s">
        <v>326</v>
      </c>
      <c r="P432">
        <v>141.18</v>
      </c>
    </row>
    <row r="433" spans="1:16">
      <c r="A433" s="42" t="str">
        <f>VLOOKUP(E433,'Soort voorraad'!A:B,2,FALSE)</f>
        <v>Grijpvoorraad</v>
      </c>
      <c r="B433" t="s">
        <v>321</v>
      </c>
      <c r="C433" t="s">
        <v>322</v>
      </c>
      <c r="D433" t="s">
        <v>323</v>
      </c>
      <c r="E433" t="s">
        <v>783</v>
      </c>
      <c r="F433" t="s">
        <v>784</v>
      </c>
      <c r="G433" t="s">
        <v>2220</v>
      </c>
      <c r="H433">
        <v>5</v>
      </c>
      <c r="I433">
        <v>2</v>
      </c>
      <c r="J433">
        <v>3</v>
      </c>
      <c r="K433">
        <v>0</v>
      </c>
      <c r="L433">
        <v>0</v>
      </c>
      <c r="M433">
        <v>3</v>
      </c>
      <c r="N433">
        <v>1.45</v>
      </c>
      <c r="O433" t="s">
        <v>328</v>
      </c>
      <c r="P433">
        <v>4.3499999999999996</v>
      </c>
    </row>
    <row r="434" spans="1:16">
      <c r="A434" s="42" t="str">
        <f>VLOOKUP(E434,'Soort voorraad'!A:B,2,FALSE)</f>
        <v>Grijpvoorraad</v>
      </c>
      <c r="B434" t="s">
        <v>321</v>
      </c>
      <c r="C434" t="s">
        <v>322</v>
      </c>
      <c r="D434" t="s">
        <v>323</v>
      </c>
      <c r="E434" t="s">
        <v>785</v>
      </c>
      <c r="F434" t="s">
        <v>786</v>
      </c>
      <c r="G434" t="s">
        <v>2221</v>
      </c>
      <c r="H434">
        <v>5</v>
      </c>
      <c r="I434">
        <v>2</v>
      </c>
      <c r="J434">
        <v>5</v>
      </c>
      <c r="K434">
        <v>0</v>
      </c>
      <c r="L434">
        <v>0</v>
      </c>
      <c r="M434">
        <v>5</v>
      </c>
      <c r="N434">
        <v>1.84</v>
      </c>
      <c r="O434" t="s">
        <v>328</v>
      </c>
      <c r="P434">
        <v>9.2200000000000006</v>
      </c>
    </row>
    <row r="435" spans="1:16">
      <c r="A435" s="42" t="str">
        <f>VLOOKUP(E435,'Soort voorraad'!A:B,2,FALSE)</f>
        <v>Grijpvoorraad</v>
      </c>
      <c r="B435" t="s">
        <v>321</v>
      </c>
      <c r="C435" t="s">
        <v>322</v>
      </c>
      <c r="D435" t="s">
        <v>323</v>
      </c>
      <c r="E435" t="s">
        <v>787</v>
      </c>
      <c r="F435" t="s">
        <v>788</v>
      </c>
      <c r="G435" t="s">
        <v>2222</v>
      </c>
      <c r="H435">
        <v>5</v>
      </c>
      <c r="I435">
        <v>2</v>
      </c>
      <c r="J435">
        <v>3</v>
      </c>
      <c r="K435">
        <v>0</v>
      </c>
      <c r="L435">
        <v>0</v>
      </c>
      <c r="M435">
        <v>3</v>
      </c>
      <c r="N435">
        <v>2.52</v>
      </c>
      <c r="O435" t="s">
        <v>328</v>
      </c>
      <c r="P435">
        <v>7.56</v>
      </c>
    </row>
    <row r="436" spans="1:16">
      <c r="A436" s="42" t="str">
        <f>VLOOKUP(E436,'Soort voorraad'!A:B,2,FALSE)</f>
        <v>Grijpvoorraad</v>
      </c>
      <c r="B436" t="s">
        <v>321</v>
      </c>
      <c r="C436" t="s">
        <v>322</v>
      </c>
      <c r="D436" t="s">
        <v>323</v>
      </c>
      <c r="E436" t="s">
        <v>853</v>
      </c>
      <c r="F436" t="s">
        <v>854</v>
      </c>
      <c r="G436" t="s">
        <v>2223</v>
      </c>
      <c r="H436">
        <v>5</v>
      </c>
      <c r="I436">
        <v>2</v>
      </c>
      <c r="J436">
        <v>3</v>
      </c>
      <c r="K436">
        <v>5</v>
      </c>
      <c r="L436">
        <v>0</v>
      </c>
      <c r="M436">
        <v>8</v>
      </c>
      <c r="N436">
        <v>22.57</v>
      </c>
      <c r="O436" t="s">
        <v>328</v>
      </c>
      <c r="P436">
        <v>67.72</v>
      </c>
    </row>
    <row r="437" spans="1:16">
      <c r="A437" s="42" t="str">
        <f>VLOOKUP(E437,'Soort voorraad'!A:B,2,FALSE)</f>
        <v>Grijpvoorraad</v>
      </c>
      <c r="B437" t="s">
        <v>321</v>
      </c>
      <c r="C437" t="s">
        <v>322</v>
      </c>
      <c r="D437" t="s">
        <v>323</v>
      </c>
      <c r="E437" t="s">
        <v>862</v>
      </c>
      <c r="F437" t="s">
        <v>863</v>
      </c>
      <c r="G437" t="s">
        <v>2224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12.49</v>
      </c>
      <c r="O437" t="s">
        <v>328</v>
      </c>
      <c r="P437">
        <v>0</v>
      </c>
    </row>
    <row r="438" spans="1:16">
      <c r="A438" s="42" t="str">
        <f>VLOOKUP(E438,'Soort voorraad'!A:B,2,FALSE)</f>
        <v>Grijpvoorraad</v>
      </c>
      <c r="B438" t="s">
        <v>321</v>
      </c>
      <c r="C438" t="s">
        <v>322</v>
      </c>
      <c r="D438" t="s">
        <v>323</v>
      </c>
      <c r="E438" t="s">
        <v>864</v>
      </c>
      <c r="F438" t="s">
        <v>865</v>
      </c>
      <c r="G438" t="s">
        <v>2225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17.600000000000001</v>
      </c>
      <c r="O438" t="s">
        <v>328</v>
      </c>
      <c r="P438">
        <v>0</v>
      </c>
    </row>
    <row r="439" spans="1:16">
      <c r="A439" s="42" t="str">
        <f>VLOOKUP(E439,'Soort voorraad'!A:B,2,FALSE)</f>
        <v>Grijpvoorraad</v>
      </c>
      <c r="B439" t="s">
        <v>321</v>
      </c>
      <c r="C439" t="s">
        <v>322</v>
      </c>
      <c r="D439" t="s">
        <v>323</v>
      </c>
      <c r="E439" t="s">
        <v>866</v>
      </c>
      <c r="F439" t="s">
        <v>867</v>
      </c>
      <c r="G439" t="s">
        <v>2226</v>
      </c>
      <c r="H439">
        <v>10</v>
      </c>
      <c r="I439">
        <v>5</v>
      </c>
      <c r="J439">
        <v>7</v>
      </c>
      <c r="K439">
        <v>0</v>
      </c>
      <c r="L439">
        <v>0</v>
      </c>
      <c r="M439">
        <v>7</v>
      </c>
      <c r="N439">
        <v>12.03</v>
      </c>
      <c r="O439" t="s">
        <v>328</v>
      </c>
      <c r="P439">
        <v>84.19</v>
      </c>
    </row>
    <row r="440" spans="1:16">
      <c r="A440" s="42" t="str">
        <f>VLOOKUP(E440,'Soort voorraad'!A:B,2,FALSE)</f>
        <v>Grijpvoorraad</v>
      </c>
      <c r="B440" t="s">
        <v>321</v>
      </c>
      <c r="C440" t="s">
        <v>322</v>
      </c>
      <c r="D440" t="s">
        <v>323</v>
      </c>
      <c r="E440" t="s">
        <v>868</v>
      </c>
      <c r="F440" t="s">
        <v>869</v>
      </c>
      <c r="G440" t="s">
        <v>2227</v>
      </c>
      <c r="H440">
        <v>3</v>
      </c>
      <c r="I440">
        <v>1</v>
      </c>
      <c r="J440">
        <v>10</v>
      </c>
      <c r="K440">
        <v>0</v>
      </c>
      <c r="L440">
        <v>0</v>
      </c>
      <c r="M440">
        <v>10</v>
      </c>
      <c r="N440">
        <v>11.85</v>
      </c>
      <c r="O440" t="s">
        <v>328</v>
      </c>
      <c r="P440">
        <v>118.46</v>
      </c>
    </row>
    <row r="441" spans="1:16">
      <c r="A441" s="42" t="str">
        <f>VLOOKUP(E441,'Soort voorraad'!A:B,2,FALSE)</f>
        <v>Grijpvoorraad</v>
      </c>
      <c r="B441" t="s">
        <v>321</v>
      </c>
      <c r="C441" t="s">
        <v>322</v>
      </c>
      <c r="D441" t="s">
        <v>323</v>
      </c>
      <c r="E441" t="s">
        <v>870</v>
      </c>
      <c r="F441" t="s">
        <v>871</v>
      </c>
      <c r="G441" t="s">
        <v>2228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5.0599999999999996</v>
      </c>
      <c r="O441" t="s">
        <v>328</v>
      </c>
      <c r="P441">
        <v>0</v>
      </c>
    </row>
    <row r="442" spans="1:16">
      <c r="A442" s="42" t="str">
        <f>VLOOKUP(E442,'Soort voorraad'!A:B,2,FALSE)</f>
        <v>Grijpvoorraad</v>
      </c>
      <c r="B442" t="s">
        <v>321</v>
      </c>
      <c r="C442" t="s">
        <v>322</v>
      </c>
      <c r="D442" t="s">
        <v>323</v>
      </c>
      <c r="E442" t="s">
        <v>872</v>
      </c>
      <c r="F442" t="s">
        <v>2439</v>
      </c>
      <c r="G442" t="s">
        <v>2229</v>
      </c>
      <c r="H442">
        <v>30</v>
      </c>
      <c r="I442">
        <v>10</v>
      </c>
      <c r="J442">
        <v>33</v>
      </c>
      <c r="K442">
        <v>0</v>
      </c>
      <c r="L442">
        <v>0</v>
      </c>
      <c r="M442">
        <v>33</v>
      </c>
      <c r="N442">
        <v>3.48</v>
      </c>
      <c r="O442" t="s">
        <v>328</v>
      </c>
      <c r="P442">
        <v>114.87</v>
      </c>
    </row>
    <row r="443" spans="1:16">
      <c r="A443" s="42" t="str">
        <f>VLOOKUP(E443,'Soort voorraad'!A:B,2,FALSE)</f>
        <v>Grijpvoorraad</v>
      </c>
      <c r="B443" t="s">
        <v>321</v>
      </c>
      <c r="C443" t="s">
        <v>322</v>
      </c>
      <c r="D443" t="s">
        <v>323</v>
      </c>
      <c r="E443" t="s">
        <v>873</v>
      </c>
      <c r="F443" t="s">
        <v>874</v>
      </c>
      <c r="G443" t="s">
        <v>2230</v>
      </c>
      <c r="H443">
        <v>10</v>
      </c>
      <c r="I443">
        <v>5</v>
      </c>
      <c r="J443">
        <v>12</v>
      </c>
      <c r="K443">
        <v>0</v>
      </c>
      <c r="L443">
        <v>0</v>
      </c>
      <c r="M443">
        <v>12</v>
      </c>
      <c r="N443">
        <v>5.18</v>
      </c>
      <c r="O443" t="s">
        <v>328</v>
      </c>
      <c r="P443">
        <v>62.2</v>
      </c>
    </row>
    <row r="444" spans="1:16">
      <c r="A444" s="42" t="str">
        <f>VLOOKUP(E444,'Soort voorraad'!A:B,2,FALSE)</f>
        <v>Grijpvoorraad</v>
      </c>
      <c r="B444" t="s">
        <v>321</v>
      </c>
      <c r="C444" t="s">
        <v>322</v>
      </c>
      <c r="D444" t="s">
        <v>323</v>
      </c>
      <c r="E444" t="s">
        <v>875</v>
      </c>
      <c r="F444" t="s">
        <v>1680</v>
      </c>
      <c r="G444" t="s">
        <v>2231</v>
      </c>
      <c r="H444">
        <v>10</v>
      </c>
      <c r="I444">
        <v>5</v>
      </c>
      <c r="J444">
        <v>14</v>
      </c>
      <c r="K444">
        <v>0</v>
      </c>
      <c r="L444">
        <v>0</v>
      </c>
      <c r="M444">
        <v>14</v>
      </c>
      <c r="N444">
        <v>3.63</v>
      </c>
      <c r="O444" t="s">
        <v>328</v>
      </c>
      <c r="P444">
        <v>50.77</v>
      </c>
    </row>
    <row r="445" spans="1:16">
      <c r="A445" s="42" t="str">
        <f>VLOOKUP(E445,'Soort voorraad'!A:B,2,FALSE)</f>
        <v>Grijpvoorraad</v>
      </c>
      <c r="B445" t="s">
        <v>321</v>
      </c>
      <c r="C445" t="s">
        <v>322</v>
      </c>
      <c r="D445" t="s">
        <v>323</v>
      </c>
      <c r="E445" t="s">
        <v>855</v>
      </c>
      <c r="F445" t="s">
        <v>856</v>
      </c>
      <c r="G445" t="s">
        <v>2232</v>
      </c>
      <c r="H445">
        <v>10</v>
      </c>
      <c r="I445">
        <v>6</v>
      </c>
      <c r="J445">
        <v>12</v>
      </c>
      <c r="K445">
        <v>20</v>
      </c>
      <c r="L445">
        <v>0</v>
      </c>
      <c r="M445">
        <v>32</v>
      </c>
      <c r="N445">
        <v>5.79</v>
      </c>
      <c r="O445" t="s">
        <v>328</v>
      </c>
      <c r="P445">
        <v>69.44</v>
      </c>
    </row>
    <row r="446" spans="1:16">
      <c r="A446" s="42" t="str">
        <f>VLOOKUP(E446,'Soort voorraad'!A:B,2,FALSE)</f>
        <v>Grijpvoorraad</v>
      </c>
      <c r="B446" t="s">
        <v>321</v>
      </c>
      <c r="C446" t="s">
        <v>322</v>
      </c>
      <c r="D446" t="s">
        <v>323</v>
      </c>
      <c r="E446" t="s">
        <v>930</v>
      </c>
      <c r="F446" t="s">
        <v>931</v>
      </c>
      <c r="G446" t="s">
        <v>2233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16.54</v>
      </c>
      <c r="O446" t="s">
        <v>328</v>
      </c>
      <c r="P446">
        <v>0</v>
      </c>
    </row>
    <row r="447" spans="1:16">
      <c r="A447" s="42" t="str">
        <f>VLOOKUP(E447,'Soort voorraad'!A:B,2,FALSE)</f>
        <v>Grijpvoorraad</v>
      </c>
      <c r="B447" t="s">
        <v>321</v>
      </c>
      <c r="C447" t="s">
        <v>322</v>
      </c>
      <c r="D447" t="s">
        <v>323</v>
      </c>
      <c r="E447" t="s">
        <v>876</v>
      </c>
      <c r="F447" t="s">
        <v>877</v>
      </c>
      <c r="G447" t="s">
        <v>2234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23.32</v>
      </c>
      <c r="O447" t="s">
        <v>328</v>
      </c>
      <c r="P447">
        <v>0</v>
      </c>
    </row>
    <row r="448" spans="1:16">
      <c r="A448" s="42" t="str">
        <f>VLOOKUP(E448,'Soort voorraad'!A:B,2,FALSE)</f>
        <v>Grijpvoorraad</v>
      </c>
      <c r="B448" t="s">
        <v>321</v>
      </c>
      <c r="C448" t="s">
        <v>322</v>
      </c>
      <c r="D448" t="s">
        <v>323</v>
      </c>
      <c r="E448" t="s">
        <v>878</v>
      </c>
      <c r="F448" t="s">
        <v>879</v>
      </c>
      <c r="G448" t="s">
        <v>2235</v>
      </c>
      <c r="H448">
        <v>3</v>
      </c>
      <c r="I448">
        <v>1</v>
      </c>
      <c r="J448">
        <v>3</v>
      </c>
      <c r="K448">
        <v>0</v>
      </c>
      <c r="L448">
        <v>0</v>
      </c>
      <c r="M448">
        <v>3</v>
      </c>
      <c r="N448">
        <v>29.78</v>
      </c>
      <c r="O448" t="s">
        <v>328</v>
      </c>
      <c r="P448">
        <v>89.33</v>
      </c>
    </row>
    <row r="449" spans="1:16">
      <c r="A449" s="42" t="str">
        <f>VLOOKUP(E449,'Soort voorraad'!A:B,2,FALSE)</f>
        <v>Grijpvoorraad</v>
      </c>
      <c r="B449" t="s">
        <v>321</v>
      </c>
      <c r="C449" t="s">
        <v>322</v>
      </c>
      <c r="D449" t="s">
        <v>323</v>
      </c>
      <c r="E449" t="s">
        <v>880</v>
      </c>
      <c r="F449" t="s">
        <v>881</v>
      </c>
      <c r="G449" t="s">
        <v>2236</v>
      </c>
      <c r="H449">
        <v>3</v>
      </c>
      <c r="I449">
        <v>1</v>
      </c>
      <c r="J449">
        <v>3</v>
      </c>
      <c r="K449">
        <v>0</v>
      </c>
      <c r="L449">
        <v>0</v>
      </c>
      <c r="M449">
        <v>3</v>
      </c>
      <c r="N449">
        <v>18.78</v>
      </c>
      <c r="O449" t="s">
        <v>328</v>
      </c>
      <c r="P449">
        <v>56.34</v>
      </c>
    </row>
    <row r="450" spans="1:16">
      <c r="A450" s="42" t="str">
        <f>VLOOKUP(E450,'Soort voorraad'!A:B,2,FALSE)</f>
        <v>Grijpvoorraad</v>
      </c>
      <c r="B450" t="s">
        <v>321</v>
      </c>
      <c r="C450" t="s">
        <v>322</v>
      </c>
      <c r="D450" t="s">
        <v>323</v>
      </c>
      <c r="E450" t="s">
        <v>882</v>
      </c>
      <c r="F450" t="s">
        <v>883</v>
      </c>
      <c r="G450" t="s">
        <v>2237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1.66</v>
      </c>
      <c r="O450" t="s">
        <v>328</v>
      </c>
      <c r="P450">
        <v>0</v>
      </c>
    </row>
    <row r="451" spans="1:16">
      <c r="A451" s="42" t="str">
        <f>VLOOKUP(E451,'Soort voorraad'!A:B,2,FALSE)</f>
        <v>Grijpvoorraad</v>
      </c>
      <c r="B451" t="s">
        <v>321</v>
      </c>
      <c r="C451" t="s">
        <v>322</v>
      </c>
      <c r="D451" t="s">
        <v>323</v>
      </c>
      <c r="E451" t="s">
        <v>884</v>
      </c>
      <c r="F451" t="s">
        <v>1681</v>
      </c>
      <c r="G451" t="s">
        <v>2238</v>
      </c>
      <c r="H451">
        <v>15</v>
      </c>
      <c r="I451">
        <v>5</v>
      </c>
      <c r="J451">
        <v>19</v>
      </c>
      <c r="K451">
        <v>0</v>
      </c>
      <c r="L451">
        <v>0</v>
      </c>
      <c r="M451">
        <v>19</v>
      </c>
      <c r="N451">
        <v>4.5</v>
      </c>
      <c r="O451" t="s">
        <v>328</v>
      </c>
      <c r="P451">
        <v>85.55</v>
      </c>
    </row>
    <row r="452" spans="1:16">
      <c r="A452" s="42" t="str">
        <f>VLOOKUP(E452,'Soort voorraad'!A:B,2,FALSE)</f>
        <v>Grijpvoorraad</v>
      </c>
      <c r="B452" t="s">
        <v>321</v>
      </c>
      <c r="C452" t="s">
        <v>322</v>
      </c>
      <c r="D452" t="s">
        <v>323</v>
      </c>
      <c r="E452" t="s">
        <v>885</v>
      </c>
      <c r="F452" t="s">
        <v>886</v>
      </c>
      <c r="G452" t="s">
        <v>2239</v>
      </c>
      <c r="H452">
        <v>3</v>
      </c>
      <c r="I452">
        <v>1</v>
      </c>
      <c r="J452">
        <v>1</v>
      </c>
      <c r="K452">
        <v>0</v>
      </c>
      <c r="L452">
        <v>0</v>
      </c>
      <c r="M452">
        <v>1</v>
      </c>
      <c r="N452">
        <v>4.55</v>
      </c>
      <c r="O452" t="s">
        <v>328</v>
      </c>
      <c r="P452">
        <v>4.55</v>
      </c>
    </row>
    <row r="453" spans="1:16">
      <c r="A453" s="42" t="str">
        <f>VLOOKUP(E453,'Soort voorraad'!A:B,2,FALSE)</f>
        <v>Grijpvoorraad</v>
      </c>
      <c r="B453" t="s">
        <v>321</v>
      </c>
      <c r="C453" t="s">
        <v>322</v>
      </c>
      <c r="D453" t="s">
        <v>323</v>
      </c>
      <c r="E453" t="s">
        <v>887</v>
      </c>
      <c r="F453" t="s">
        <v>888</v>
      </c>
      <c r="G453" t="s">
        <v>2240</v>
      </c>
      <c r="H453">
        <v>3</v>
      </c>
      <c r="I453">
        <v>1</v>
      </c>
      <c r="J453">
        <v>2</v>
      </c>
      <c r="K453">
        <v>0</v>
      </c>
      <c r="L453">
        <v>0</v>
      </c>
      <c r="M453">
        <v>2</v>
      </c>
      <c r="N453">
        <v>34.700000000000003</v>
      </c>
      <c r="O453" t="s">
        <v>328</v>
      </c>
      <c r="P453">
        <v>69.400000000000006</v>
      </c>
    </row>
    <row r="454" spans="1:16">
      <c r="A454" s="42" t="str">
        <f>VLOOKUP(E454,'Soort voorraad'!A:B,2,FALSE)</f>
        <v>Grijpvoorraad</v>
      </c>
      <c r="B454" t="s">
        <v>321</v>
      </c>
      <c r="C454" t="s">
        <v>322</v>
      </c>
      <c r="D454" t="s">
        <v>323</v>
      </c>
      <c r="E454" t="s">
        <v>889</v>
      </c>
      <c r="F454" t="s">
        <v>1767</v>
      </c>
      <c r="G454" t="s">
        <v>2241</v>
      </c>
      <c r="H454">
        <v>3</v>
      </c>
      <c r="I454">
        <v>1</v>
      </c>
      <c r="J454">
        <v>3</v>
      </c>
      <c r="K454">
        <v>0</v>
      </c>
      <c r="L454">
        <v>0</v>
      </c>
      <c r="M454">
        <v>3</v>
      </c>
      <c r="N454">
        <v>21.36</v>
      </c>
      <c r="O454" t="s">
        <v>328</v>
      </c>
      <c r="P454">
        <v>64.08</v>
      </c>
    </row>
    <row r="455" spans="1:16">
      <c r="A455" s="42" t="str">
        <f>VLOOKUP(E455,'Soort voorraad'!A:B,2,FALSE)</f>
        <v>Grijpvoorraad</v>
      </c>
      <c r="B455" t="s">
        <v>321</v>
      </c>
      <c r="C455" t="s">
        <v>322</v>
      </c>
      <c r="D455" t="s">
        <v>323</v>
      </c>
      <c r="E455" t="s">
        <v>890</v>
      </c>
      <c r="F455" t="s">
        <v>891</v>
      </c>
      <c r="G455" t="s">
        <v>2242</v>
      </c>
      <c r="H455">
        <v>3</v>
      </c>
      <c r="I455">
        <v>1</v>
      </c>
      <c r="J455">
        <v>1</v>
      </c>
      <c r="K455">
        <v>0</v>
      </c>
      <c r="L455">
        <v>0</v>
      </c>
      <c r="M455">
        <v>1</v>
      </c>
      <c r="N455">
        <v>4</v>
      </c>
      <c r="O455" t="s">
        <v>332</v>
      </c>
      <c r="P455">
        <v>4</v>
      </c>
    </row>
    <row r="456" spans="1:16">
      <c r="A456" s="42" t="str">
        <f>VLOOKUP(E456,'Soort voorraad'!A:B,2,FALSE)</f>
        <v>Grijpvoorraad</v>
      </c>
      <c r="B456" t="s">
        <v>321</v>
      </c>
      <c r="C456" t="s">
        <v>322</v>
      </c>
      <c r="D456" t="s">
        <v>323</v>
      </c>
      <c r="E456" t="s">
        <v>857</v>
      </c>
      <c r="F456" t="s">
        <v>858</v>
      </c>
      <c r="G456" t="s">
        <v>2243</v>
      </c>
      <c r="H456">
        <v>10</v>
      </c>
      <c r="I456">
        <v>6</v>
      </c>
      <c r="J456">
        <v>23</v>
      </c>
      <c r="K456">
        <v>0</v>
      </c>
      <c r="L456">
        <v>0</v>
      </c>
      <c r="M456">
        <v>23</v>
      </c>
      <c r="N456">
        <v>8.07</v>
      </c>
      <c r="O456" t="s">
        <v>328</v>
      </c>
      <c r="P456">
        <v>185.61</v>
      </c>
    </row>
    <row r="457" spans="1:16">
      <c r="A457" s="42" t="str">
        <f>VLOOKUP(E457,'Soort voorraad'!A:B,2,FALSE)</f>
        <v>Grijpvoorraad</v>
      </c>
      <c r="B457" t="s">
        <v>321</v>
      </c>
      <c r="C457" t="s">
        <v>322</v>
      </c>
      <c r="D457" t="s">
        <v>323</v>
      </c>
      <c r="E457" t="s">
        <v>892</v>
      </c>
      <c r="F457" t="s">
        <v>893</v>
      </c>
      <c r="G457" t="s">
        <v>2244</v>
      </c>
      <c r="H457">
        <v>3</v>
      </c>
      <c r="I457">
        <v>1</v>
      </c>
      <c r="J457">
        <v>3</v>
      </c>
      <c r="K457">
        <v>0</v>
      </c>
      <c r="L457">
        <v>0</v>
      </c>
      <c r="M457">
        <v>3</v>
      </c>
      <c r="N457">
        <v>8.36</v>
      </c>
      <c r="O457" t="s">
        <v>328</v>
      </c>
      <c r="P457">
        <v>25.08</v>
      </c>
    </row>
    <row r="458" spans="1:16">
      <c r="A458" s="42" t="str">
        <f>VLOOKUP(E458,'Soort voorraad'!A:B,2,FALSE)</f>
        <v>Grijpvoorraad</v>
      </c>
      <c r="B458" t="s">
        <v>321</v>
      </c>
      <c r="C458" t="s">
        <v>322</v>
      </c>
      <c r="D458" t="s">
        <v>323</v>
      </c>
      <c r="E458" t="s">
        <v>894</v>
      </c>
      <c r="F458" t="s">
        <v>895</v>
      </c>
      <c r="G458" t="s">
        <v>2245</v>
      </c>
      <c r="H458">
        <v>3</v>
      </c>
      <c r="I458">
        <v>1</v>
      </c>
      <c r="J458">
        <v>1</v>
      </c>
      <c r="K458">
        <v>0</v>
      </c>
      <c r="L458">
        <v>0</v>
      </c>
      <c r="M458">
        <v>1</v>
      </c>
      <c r="N458">
        <v>61</v>
      </c>
      <c r="O458" t="s">
        <v>332</v>
      </c>
      <c r="P458">
        <v>61</v>
      </c>
    </row>
    <row r="459" spans="1:16">
      <c r="A459" s="42" t="str">
        <f>VLOOKUP(E459,'Soort voorraad'!A:B,2,FALSE)</f>
        <v>Grijpvoorraad</v>
      </c>
      <c r="B459" t="s">
        <v>321</v>
      </c>
      <c r="C459" t="s">
        <v>322</v>
      </c>
      <c r="D459" t="s">
        <v>323</v>
      </c>
      <c r="E459" t="s">
        <v>896</v>
      </c>
      <c r="F459" t="s">
        <v>897</v>
      </c>
      <c r="G459" t="s">
        <v>2246</v>
      </c>
      <c r="H459">
        <v>3</v>
      </c>
      <c r="I459">
        <v>1</v>
      </c>
      <c r="J459">
        <v>1</v>
      </c>
      <c r="K459">
        <v>0</v>
      </c>
      <c r="L459">
        <v>0</v>
      </c>
      <c r="M459">
        <v>1</v>
      </c>
      <c r="N459">
        <v>2.5299999999999998</v>
      </c>
      <c r="O459" t="s">
        <v>328</v>
      </c>
      <c r="P459">
        <v>2.5299999999999998</v>
      </c>
    </row>
    <row r="460" spans="1:16">
      <c r="A460" s="42" t="str">
        <f>VLOOKUP(E460,'Soort voorraad'!A:B,2,FALSE)</f>
        <v>Grijpvoorraad</v>
      </c>
      <c r="B460" t="s">
        <v>321</v>
      </c>
      <c r="C460" t="s">
        <v>322</v>
      </c>
      <c r="D460" t="s">
        <v>323</v>
      </c>
      <c r="E460" t="s">
        <v>898</v>
      </c>
      <c r="F460" t="s">
        <v>899</v>
      </c>
      <c r="G460" t="s">
        <v>2247</v>
      </c>
      <c r="H460">
        <v>3</v>
      </c>
      <c r="I460">
        <v>1</v>
      </c>
      <c r="J460">
        <v>2</v>
      </c>
      <c r="K460">
        <v>0</v>
      </c>
      <c r="L460">
        <v>0</v>
      </c>
      <c r="M460">
        <v>2</v>
      </c>
      <c r="N460">
        <v>2.99</v>
      </c>
      <c r="O460" t="s">
        <v>328</v>
      </c>
      <c r="P460">
        <v>5.98</v>
      </c>
    </row>
    <row r="461" spans="1:16">
      <c r="A461" s="42" t="str">
        <f>VLOOKUP(E461,'Soort voorraad'!A:B,2,FALSE)</f>
        <v>Grijpvoorraad</v>
      </c>
      <c r="B461" t="s">
        <v>321</v>
      </c>
      <c r="C461" t="s">
        <v>322</v>
      </c>
      <c r="D461" t="s">
        <v>323</v>
      </c>
      <c r="E461" t="s">
        <v>900</v>
      </c>
      <c r="F461" t="s">
        <v>901</v>
      </c>
      <c r="G461" t="s">
        <v>2248</v>
      </c>
      <c r="H461">
        <v>3</v>
      </c>
      <c r="I461">
        <v>1</v>
      </c>
      <c r="J461">
        <v>8</v>
      </c>
      <c r="K461">
        <v>0</v>
      </c>
      <c r="L461">
        <v>0</v>
      </c>
      <c r="M461">
        <v>8</v>
      </c>
      <c r="N461">
        <v>5.75</v>
      </c>
      <c r="O461" t="s">
        <v>328</v>
      </c>
      <c r="P461">
        <v>46.01</v>
      </c>
    </row>
    <row r="462" spans="1:16">
      <c r="A462" s="42" t="str">
        <f>VLOOKUP(E462,'Soort voorraad'!A:B,2,FALSE)</f>
        <v>Grijpvoorraad</v>
      </c>
      <c r="B462" t="s">
        <v>321</v>
      </c>
      <c r="C462" t="s">
        <v>322</v>
      </c>
      <c r="D462" t="s">
        <v>323</v>
      </c>
      <c r="E462" t="s">
        <v>902</v>
      </c>
      <c r="F462" t="s">
        <v>903</v>
      </c>
      <c r="G462" t="s">
        <v>2249</v>
      </c>
      <c r="H462">
        <v>3</v>
      </c>
      <c r="I462">
        <v>1</v>
      </c>
      <c r="J462">
        <v>2</v>
      </c>
      <c r="K462">
        <v>0</v>
      </c>
      <c r="L462">
        <v>0</v>
      </c>
      <c r="M462">
        <v>2</v>
      </c>
      <c r="N462">
        <v>35.369999999999997</v>
      </c>
      <c r="O462" t="s">
        <v>328</v>
      </c>
      <c r="P462">
        <v>70.739999999999995</v>
      </c>
    </row>
    <row r="463" spans="1:16">
      <c r="A463" s="42" t="str">
        <f>VLOOKUP(E463,'Soort voorraad'!A:B,2,FALSE)</f>
        <v>Grijpvoorraad</v>
      </c>
      <c r="B463" t="s">
        <v>321</v>
      </c>
      <c r="C463" t="s">
        <v>322</v>
      </c>
      <c r="D463" t="s">
        <v>323</v>
      </c>
      <c r="E463" t="s">
        <v>859</v>
      </c>
      <c r="F463" t="s">
        <v>1679</v>
      </c>
      <c r="G463" t="s">
        <v>2250</v>
      </c>
      <c r="H463">
        <v>10</v>
      </c>
      <c r="I463">
        <v>6</v>
      </c>
      <c r="J463">
        <v>23</v>
      </c>
      <c r="K463">
        <v>0</v>
      </c>
      <c r="L463">
        <v>0</v>
      </c>
      <c r="M463">
        <v>23</v>
      </c>
      <c r="N463">
        <v>15.65</v>
      </c>
      <c r="O463" t="s">
        <v>328</v>
      </c>
      <c r="P463">
        <v>359.88</v>
      </c>
    </row>
    <row r="464" spans="1:16">
      <c r="A464" s="42" t="str">
        <f>VLOOKUP(E464,'Soort voorraad'!A:B,2,FALSE)</f>
        <v>Grijpvoorraad</v>
      </c>
      <c r="B464" t="s">
        <v>321</v>
      </c>
      <c r="C464" t="s">
        <v>322</v>
      </c>
      <c r="D464" t="s">
        <v>323</v>
      </c>
      <c r="E464" t="s">
        <v>904</v>
      </c>
      <c r="F464" t="s">
        <v>905</v>
      </c>
      <c r="G464" t="s">
        <v>2251</v>
      </c>
      <c r="H464">
        <v>3</v>
      </c>
      <c r="I464">
        <v>1</v>
      </c>
      <c r="J464">
        <v>2</v>
      </c>
      <c r="K464">
        <v>0</v>
      </c>
      <c r="L464">
        <v>0</v>
      </c>
      <c r="M464">
        <v>2</v>
      </c>
      <c r="N464">
        <v>36</v>
      </c>
      <c r="O464" t="s">
        <v>328</v>
      </c>
      <c r="P464">
        <v>72</v>
      </c>
    </row>
    <row r="465" spans="1:16">
      <c r="A465" s="42" t="str">
        <f>VLOOKUP(E465,'Soort voorraad'!A:B,2,FALSE)</f>
        <v>Grijpvoorraad</v>
      </c>
      <c r="B465" t="s">
        <v>321</v>
      </c>
      <c r="C465" t="s">
        <v>322</v>
      </c>
      <c r="D465" t="s">
        <v>323</v>
      </c>
      <c r="E465" t="s">
        <v>906</v>
      </c>
      <c r="F465" t="s">
        <v>907</v>
      </c>
      <c r="G465" t="s">
        <v>2252</v>
      </c>
      <c r="H465">
        <v>3</v>
      </c>
      <c r="I465">
        <v>1</v>
      </c>
      <c r="J465">
        <v>1</v>
      </c>
      <c r="K465">
        <v>0</v>
      </c>
      <c r="L465">
        <v>0</v>
      </c>
      <c r="M465">
        <v>1</v>
      </c>
      <c r="N465">
        <v>38.700000000000003</v>
      </c>
      <c r="O465" t="s">
        <v>328</v>
      </c>
      <c r="P465">
        <v>38.700000000000003</v>
      </c>
    </row>
    <row r="466" spans="1:16">
      <c r="A466" s="42" t="str">
        <f>VLOOKUP(E466,'Soort voorraad'!A:B,2,FALSE)</f>
        <v>Grijpvoorraad</v>
      </c>
      <c r="B466" t="s">
        <v>321</v>
      </c>
      <c r="C466" t="s">
        <v>322</v>
      </c>
      <c r="D466" t="s">
        <v>323</v>
      </c>
      <c r="E466" t="s">
        <v>908</v>
      </c>
      <c r="F466" t="s">
        <v>909</v>
      </c>
      <c r="G466" t="s">
        <v>2253</v>
      </c>
      <c r="H466">
        <v>3</v>
      </c>
      <c r="I466">
        <v>1</v>
      </c>
      <c r="J466">
        <v>3</v>
      </c>
      <c r="K466">
        <v>0</v>
      </c>
      <c r="L466">
        <v>0</v>
      </c>
      <c r="M466">
        <v>3</v>
      </c>
      <c r="N466">
        <v>55.28</v>
      </c>
      <c r="O466" t="s">
        <v>328</v>
      </c>
      <c r="P466">
        <v>165.84</v>
      </c>
    </row>
    <row r="467" spans="1:16">
      <c r="A467" s="42" t="str">
        <f>VLOOKUP(E467,'Soort voorraad'!A:B,2,FALSE)</f>
        <v>Grijpvoorraad</v>
      </c>
      <c r="B467" t="s">
        <v>321</v>
      </c>
      <c r="C467" t="s">
        <v>322</v>
      </c>
      <c r="D467" t="s">
        <v>323</v>
      </c>
      <c r="E467" t="s">
        <v>910</v>
      </c>
      <c r="F467" t="s">
        <v>911</v>
      </c>
      <c r="G467" t="s">
        <v>2254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13.14</v>
      </c>
      <c r="O467" t="s">
        <v>328</v>
      </c>
      <c r="P467">
        <v>0</v>
      </c>
    </row>
    <row r="468" spans="1:16">
      <c r="A468" s="42" t="str">
        <f>VLOOKUP(E468,'Soort voorraad'!A:B,2,FALSE)</f>
        <v>Grijpvoorraad</v>
      </c>
      <c r="B468" t="s">
        <v>321</v>
      </c>
      <c r="C468" t="s">
        <v>322</v>
      </c>
      <c r="D468" t="s">
        <v>323</v>
      </c>
      <c r="E468" t="s">
        <v>912</v>
      </c>
      <c r="F468" t="s">
        <v>913</v>
      </c>
      <c r="G468" t="s">
        <v>2255</v>
      </c>
      <c r="H468">
        <v>3</v>
      </c>
      <c r="I468">
        <v>1</v>
      </c>
      <c r="J468">
        <v>3</v>
      </c>
      <c r="K468">
        <v>0</v>
      </c>
      <c r="L468">
        <v>0</v>
      </c>
      <c r="M468">
        <v>3</v>
      </c>
      <c r="N468">
        <v>2.57</v>
      </c>
      <c r="O468" t="s">
        <v>328</v>
      </c>
      <c r="P468">
        <v>7.72</v>
      </c>
    </row>
    <row r="469" spans="1:16">
      <c r="A469" s="42" t="str">
        <f>VLOOKUP(E469,'Soort voorraad'!A:B,2,FALSE)</f>
        <v>Grijpvoorraad</v>
      </c>
      <c r="B469" t="s">
        <v>321</v>
      </c>
      <c r="C469" t="s">
        <v>322</v>
      </c>
      <c r="D469" t="s">
        <v>323</v>
      </c>
      <c r="E469" t="s">
        <v>914</v>
      </c>
      <c r="F469" t="s">
        <v>915</v>
      </c>
      <c r="G469" t="s">
        <v>2256</v>
      </c>
      <c r="H469">
        <v>3</v>
      </c>
      <c r="I469">
        <v>1</v>
      </c>
      <c r="J469">
        <v>2</v>
      </c>
      <c r="K469">
        <v>0</v>
      </c>
      <c r="L469">
        <v>0</v>
      </c>
      <c r="M469">
        <v>2</v>
      </c>
      <c r="N469">
        <v>7.53</v>
      </c>
      <c r="O469" t="s">
        <v>328</v>
      </c>
      <c r="P469">
        <v>15.05</v>
      </c>
    </row>
    <row r="470" spans="1:16">
      <c r="A470" s="42" t="str">
        <f>VLOOKUP(E470,'Soort voorraad'!A:B,2,FALSE)</f>
        <v>Grijpvoorraad</v>
      </c>
      <c r="B470" t="s">
        <v>321</v>
      </c>
      <c r="C470" t="s">
        <v>322</v>
      </c>
      <c r="D470" t="s">
        <v>323</v>
      </c>
      <c r="E470" t="s">
        <v>916</v>
      </c>
      <c r="F470" t="s">
        <v>917</v>
      </c>
      <c r="G470" t="s">
        <v>2257</v>
      </c>
      <c r="H470">
        <v>3</v>
      </c>
      <c r="I470">
        <v>1</v>
      </c>
      <c r="J470">
        <v>1</v>
      </c>
      <c r="K470">
        <v>0</v>
      </c>
      <c r="L470">
        <v>0</v>
      </c>
      <c r="M470">
        <v>1</v>
      </c>
      <c r="N470">
        <v>80.84</v>
      </c>
      <c r="O470" t="s">
        <v>328</v>
      </c>
      <c r="P470">
        <v>80.84</v>
      </c>
    </row>
    <row r="471" spans="1:16">
      <c r="B471" t="s">
        <v>321</v>
      </c>
      <c r="C471" t="s">
        <v>322</v>
      </c>
      <c r="D471" t="s">
        <v>323</v>
      </c>
      <c r="E471" t="s">
        <v>918</v>
      </c>
      <c r="F471" t="s">
        <v>919</v>
      </c>
      <c r="G471" t="s">
        <v>2258</v>
      </c>
      <c r="H471">
        <v>3</v>
      </c>
      <c r="I471">
        <v>1</v>
      </c>
      <c r="J471">
        <v>1</v>
      </c>
      <c r="K471">
        <v>0</v>
      </c>
      <c r="L471">
        <v>0</v>
      </c>
      <c r="M471">
        <v>1</v>
      </c>
      <c r="N471">
        <v>21.84</v>
      </c>
      <c r="O471" t="s">
        <v>328</v>
      </c>
      <c r="P471">
        <v>21.84</v>
      </c>
    </row>
    <row r="472" spans="1:16">
      <c r="B472" t="s">
        <v>321</v>
      </c>
      <c r="C472" t="s">
        <v>322</v>
      </c>
      <c r="D472" t="s">
        <v>323</v>
      </c>
      <c r="E472" t="s">
        <v>920</v>
      </c>
      <c r="F472" t="s">
        <v>921</v>
      </c>
      <c r="G472" t="s">
        <v>2259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6.96</v>
      </c>
      <c r="O472" t="s">
        <v>328</v>
      </c>
      <c r="P472">
        <v>0</v>
      </c>
    </row>
    <row r="473" spans="1:16">
      <c r="B473" t="s">
        <v>321</v>
      </c>
      <c r="C473" t="s">
        <v>322</v>
      </c>
      <c r="D473" t="s">
        <v>323</v>
      </c>
      <c r="E473" t="s">
        <v>860</v>
      </c>
      <c r="F473" t="s">
        <v>861</v>
      </c>
      <c r="G473" t="s">
        <v>2260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12.18</v>
      </c>
      <c r="O473" t="s">
        <v>328</v>
      </c>
      <c r="P473">
        <v>0</v>
      </c>
    </row>
    <row r="474" spans="1:16">
      <c r="B474" t="s">
        <v>321</v>
      </c>
      <c r="C474" t="s">
        <v>322</v>
      </c>
      <c r="D474" t="s">
        <v>323</v>
      </c>
      <c r="E474" t="s">
        <v>922</v>
      </c>
      <c r="F474" t="s">
        <v>923</v>
      </c>
      <c r="G474" t="s">
        <v>2261</v>
      </c>
      <c r="H474">
        <v>3</v>
      </c>
      <c r="I474">
        <v>1</v>
      </c>
      <c r="J474">
        <v>3</v>
      </c>
      <c r="K474">
        <v>0</v>
      </c>
      <c r="L474">
        <v>0</v>
      </c>
      <c r="M474">
        <v>3</v>
      </c>
      <c r="N474">
        <v>10.88</v>
      </c>
      <c r="O474" t="s">
        <v>328</v>
      </c>
      <c r="P474">
        <v>32.65</v>
      </c>
    </row>
    <row r="475" spans="1:16">
      <c r="B475" t="s">
        <v>321</v>
      </c>
      <c r="C475" t="s">
        <v>322</v>
      </c>
      <c r="D475" t="s">
        <v>323</v>
      </c>
      <c r="E475" t="s">
        <v>924</v>
      </c>
      <c r="F475" t="s">
        <v>925</v>
      </c>
      <c r="G475" t="s">
        <v>2262</v>
      </c>
      <c r="H475">
        <v>3</v>
      </c>
      <c r="I475">
        <v>1</v>
      </c>
      <c r="J475">
        <v>1</v>
      </c>
      <c r="K475">
        <v>0</v>
      </c>
      <c r="L475">
        <v>0</v>
      </c>
      <c r="M475">
        <v>1</v>
      </c>
      <c r="N475">
        <v>10.94</v>
      </c>
      <c r="O475" t="s">
        <v>328</v>
      </c>
      <c r="P475">
        <v>10.94</v>
      </c>
    </row>
  </sheetData>
  <sheetProtection sheet="1" sort="0" autoFilter="0"/>
  <autoFilter ref="A1:P475" xr:uid="{F2C555E8-D242-4B00-A4B6-ECA149001328}"/>
  <pageMargins left="0.7" right="0.7" top="0.75" bottom="0.75" header="0.3" footer="0.3"/>
  <headerFooter>
    <oddFooter>&amp;C_x000D_&amp;1#&amp;"Calibri"&amp;10&amp;KFFFF00 C1-Intern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EA63-A8F1-4D74-A681-F7D161459979}">
  <sheetPr>
    <tabColor rgb="FFFF0000"/>
  </sheetPr>
  <dimension ref="A1:B496"/>
  <sheetViews>
    <sheetView workbookViewId="0">
      <pane ySplit="1" topLeftCell="A473" activePane="bottomLeft" state="frozen"/>
      <selection pane="bottomLeft" activeCell="G489" sqref="G489"/>
    </sheetView>
  </sheetViews>
  <sheetFormatPr defaultRowHeight="15"/>
  <cols>
    <col min="1" max="1" width="20.85546875" bestFit="1" customWidth="1"/>
    <col min="2" max="2" width="45.140625" bestFit="1" customWidth="1"/>
  </cols>
  <sheetData>
    <row r="1" spans="1:2" ht="15" customHeight="1">
      <c r="A1" s="2" t="s">
        <v>1072</v>
      </c>
      <c r="B1" s="2" t="s">
        <v>308</v>
      </c>
    </row>
    <row r="2" spans="1:2">
      <c r="A2" t="s">
        <v>324</v>
      </c>
      <c r="B2" t="s">
        <v>1073</v>
      </c>
    </row>
    <row r="3" spans="1:2">
      <c r="A3" t="s">
        <v>327</v>
      </c>
      <c r="B3" t="s">
        <v>1073</v>
      </c>
    </row>
    <row r="4" spans="1:2">
      <c r="A4" t="s">
        <v>969</v>
      </c>
      <c r="B4" t="s">
        <v>1073</v>
      </c>
    </row>
    <row r="5" spans="1:2">
      <c r="A5" t="s">
        <v>971</v>
      </c>
      <c r="B5" t="s">
        <v>1073</v>
      </c>
    </row>
    <row r="6" spans="1:2">
      <c r="A6" t="s">
        <v>973</v>
      </c>
      <c r="B6" t="s">
        <v>1073</v>
      </c>
    </row>
    <row r="7" spans="1:2">
      <c r="A7" t="s">
        <v>975</v>
      </c>
      <c r="B7" t="s">
        <v>1073</v>
      </c>
    </row>
    <row r="8" spans="1:2">
      <c r="A8" t="s">
        <v>330</v>
      </c>
      <c r="B8" t="s">
        <v>1073</v>
      </c>
    </row>
    <row r="9" spans="1:2">
      <c r="A9" t="s">
        <v>333</v>
      </c>
      <c r="B9" t="s">
        <v>1073</v>
      </c>
    </row>
    <row r="10" spans="1:2">
      <c r="A10" t="s">
        <v>335</v>
      </c>
      <c r="B10" t="s">
        <v>1073</v>
      </c>
    </row>
    <row r="11" spans="1:2">
      <c r="A11" t="s">
        <v>337</v>
      </c>
      <c r="B11" t="s">
        <v>1073</v>
      </c>
    </row>
    <row r="12" spans="1:2">
      <c r="A12" t="s">
        <v>339</v>
      </c>
      <c r="B12" t="s">
        <v>1073</v>
      </c>
    </row>
    <row r="13" spans="1:2">
      <c r="A13" t="s">
        <v>341</v>
      </c>
      <c r="B13" t="s">
        <v>1073</v>
      </c>
    </row>
    <row r="14" spans="1:2">
      <c r="A14" t="s">
        <v>343</v>
      </c>
      <c r="B14" t="s">
        <v>1073</v>
      </c>
    </row>
    <row r="15" spans="1:2">
      <c r="A15" t="s">
        <v>345</v>
      </c>
      <c r="B15" t="s">
        <v>1073</v>
      </c>
    </row>
    <row r="16" spans="1:2">
      <c r="A16" t="s">
        <v>347</v>
      </c>
      <c r="B16" t="s">
        <v>1073</v>
      </c>
    </row>
    <row r="17" spans="1:2">
      <c r="A17" t="s">
        <v>349</v>
      </c>
      <c r="B17" t="s">
        <v>1073</v>
      </c>
    </row>
    <row r="18" spans="1:2">
      <c r="A18" t="s">
        <v>351</v>
      </c>
      <c r="B18" t="s">
        <v>1073</v>
      </c>
    </row>
    <row r="19" spans="1:2">
      <c r="A19" t="s">
        <v>353</v>
      </c>
      <c r="B19" t="s">
        <v>1073</v>
      </c>
    </row>
    <row r="20" spans="1:2">
      <c r="A20" t="s">
        <v>977</v>
      </c>
      <c r="B20" t="s">
        <v>1073</v>
      </c>
    </row>
    <row r="21" spans="1:2">
      <c r="A21" t="s">
        <v>355</v>
      </c>
      <c r="B21" t="s">
        <v>1073</v>
      </c>
    </row>
    <row r="22" spans="1:2">
      <c r="A22" t="s">
        <v>979</v>
      </c>
      <c r="B22" t="s">
        <v>1073</v>
      </c>
    </row>
    <row r="23" spans="1:2">
      <c r="A23" t="s">
        <v>981</v>
      </c>
      <c r="B23" t="s">
        <v>1073</v>
      </c>
    </row>
    <row r="24" spans="1:2">
      <c r="A24" t="s">
        <v>357</v>
      </c>
      <c r="B24" t="s">
        <v>1073</v>
      </c>
    </row>
    <row r="25" spans="1:2">
      <c r="A25" t="s">
        <v>983</v>
      </c>
      <c r="B25" t="s">
        <v>1073</v>
      </c>
    </row>
    <row r="26" spans="1:2">
      <c r="A26" t="s">
        <v>359</v>
      </c>
      <c r="B26" t="s">
        <v>1073</v>
      </c>
    </row>
    <row r="27" spans="1:2">
      <c r="A27" t="s">
        <v>361</v>
      </c>
      <c r="B27" t="s">
        <v>1073</v>
      </c>
    </row>
    <row r="28" spans="1:2">
      <c r="A28" t="s">
        <v>363</v>
      </c>
      <c r="B28" t="s">
        <v>1073</v>
      </c>
    </row>
    <row r="29" spans="1:2">
      <c r="A29" t="s">
        <v>365</v>
      </c>
      <c r="B29" t="s">
        <v>1073</v>
      </c>
    </row>
    <row r="30" spans="1:2">
      <c r="A30" t="s">
        <v>367</v>
      </c>
      <c r="B30" t="s">
        <v>1073</v>
      </c>
    </row>
    <row r="31" spans="1:2">
      <c r="A31" t="s">
        <v>369</v>
      </c>
      <c r="B31" t="s">
        <v>1073</v>
      </c>
    </row>
    <row r="32" spans="1:2">
      <c r="A32" t="s">
        <v>371</v>
      </c>
      <c r="B32" t="s">
        <v>1073</v>
      </c>
    </row>
    <row r="33" spans="1:2">
      <c r="A33" t="s">
        <v>373</v>
      </c>
      <c r="B33" t="s">
        <v>1073</v>
      </c>
    </row>
    <row r="34" spans="1:2">
      <c r="A34" t="s">
        <v>375</v>
      </c>
      <c r="B34" t="s">
        <v>1073</v>
      </c>
    </row>
    <row r="35" spans="1:2">
      <c r="A35" t="s">
        <v>377</v>
      </c>
      <c r="B35" t="s">
        <v>1073</v>
      </c>
    </row>
    <row r="36" spans="1:2">
      <c r="A36" t="s">
        <v>379</v>
      </c>
      <c r="B36" t="s">
        <v>1073</v>
      </c>
    </row>
    <row r="37" spans="1:2">
      <c r="A37" t="s">
        <v>381</v>
      </c>
      <c r="B37" t="s">
        <v>1073</v>
      </c>
    </row>
    <row r="38" spans="1:2">
      <c r="A38" t="s">
        <v>961</v>
      </c>
      <c r="B38" t="s">
        <v>1073</v>
      </c>
    </row>
    <row r="39" spans="1:2">
      <c r="A39" t="s">
        <v>382</v>
      </c>
      <c r="B39" t="s">
        <v>1073</v>
      </c>
    </row>
    <row r="40" spans="1:2">
      <c r="A40" t="s">
        <v>384</v>
      </c>
      <c r="B40" t="s">
        <v>1073</v>
      </c>
    </row>
    <row r="41" spans="1:2">
      <c r="A41" t="s">
        <v>386</v>
      </c>
      <c r="B41" t="s">
        <v>1073</v>
      </c>
    </row>
    <row r="42" spans="1:2">
      <c r="A42" t="s">
        <v>388</v>
      </c>
      <c r="B42" t="s">
        <v>1073</v>
      </c>
    </row>
    <row r="43" spans="1:2">
      <c r="A43" t="s">
        <v>390</v>
      </c>
      <c r="B43" t="s">
        <v>1073</v>
      </c>
    </row>
    <row r="44" spans="1:2">
      <c r="A44" t="s">
        <v>392</v>
      </c>
      <c r="B44" t="s">
        <v>1073</v>
      </c>
    </row>
    <row r="45" spans="1:2">
      <c r="A45" t="s">
        <v>394</v>
      </c>
      <c r="B45" t="s">
        <v>1073</v>
      </c>
    </row>
    <row r="46" spans="1:2">
      <c r="A46" t="s">
        <v>396</v>
      </c>
      <c r="B46" t="s">
        <v>1073</v>
      </c>
    </row>
    <row r="47" spans="1:2">
      <c r="A47" t="s">
        <v>398</v>
      </c>
      <c r="B47" t="s">
        <v>1073</v>
      </c>
    </row>
    <row r="48" spans="1:2">
      <c r="A48" t="s">
        <v>400</v>
      </c>
      <c r="B48" t="s">
        <v>1073</v>
      </c>
    </row>
    <row r="49" spans="1:2">
      <c r="A49" t="s">
        <v>402</v>
      </c>
      <c r="B49" t="s">
        <v>1073</v>
      </c>
    </row>
    <row r="50" spans="1:2">
      <c r="A50" t="s">
        <v>404</v>
      </c>
      <c r="B50" t="s">
        <v>1073</v>
      </c>
    </row>
    <row r="51" spans="1:2">
      <c r="A51" t="s">
        <v>406</v>
      </c>
      <c r="B51" t="s">
        <v>1073</v>
      </c>
    </row>
    <row r="52" spans="1:2">
      <c r="A52" t="s">
        <v>408</v>
      </c>
      <c r="B52" t="s">
        <v>1073</v>
      </c>
    </row>
    <row r="53" spans="1:2">
      <c r="A53" t="s">
        <v>410</v>
      </c>
      <c r="B53" t="s">
        <v>1073</v>
      </c>
    </row>
    <row r="54" spans="1:2">
      <c r="A54" t="s">
        <v>412</v>
      </c>
      <c r="B54" t="s">
        <v>1073</v>
      </c>
    </row>
    <row r="55" spans="1:2">
      <c r="A55" t="s">
        <v>414</v>
      </c>
      <c r="B55" t="s">
        <v>1073</v>
      </c>
    </row>
    <row r="56" spans="1:2">
      <c r="A56" t="s">
        <v>416</v>
      </c>
      <c r="B56" t="s">
        <v>1073</v>
      </c>
    </row>
    <row r="57" spans="1:2">
      <c r="A57" t="s">
        <v>418</v>
      </c>
      <c r="B57" t="s">
        <v>1073</v>
      </c>
    </row>
    <row r="58" spans="1:2">
      <c r="A58" t="s">
        <v>420</v>
      </c>
      <c r="B58" t="s">
        <v>1073</v>
      </c>
    </row>
    <row r="59" spans="1:2">
      <c r="A59" t="s">
        <v>422</v>
      </c>
      <c r="B59" t="s">
        <v>1073</v>
      </c>
    </row>
    <row r="60" spans="1:2">
      <c r="A60" t="s">
        <v>424</v>
      </c>
      <c r="B60" t="s">
        <v>1073</v>
      </c>
    </row>
    <row r="61" spans="1:2">
      <c r="A61" t="s">
        <v>426</v>
      </c>
      <c r="B61" t="s">
        <v>1073</v>
      </c>
    </row>
    <row r="62" spans="1:2">
      <c r="A62" t="s">
        <v>428</v>
      </c>
      <c r="B62" t="s">
        <v>1073</v>
      </c>
    </row>
    <row r="63" spans="1:2">
      <c r="A63" t="s">
        <v>430</v>
      </c>
      <c r="B63" t="s">
        <v>1073</v>
      </c>
    </row>
    <row r="64" spans="1:2">
      <c r="A64" t="s">
        <v>434</v>
      </c>
      <c r="B64" t="s">
        <v>1073</v>
      </c>
    </row>
    <row r="65" spans="1:2">
      <c r="A65" t="s">
        <v>436</v>
      </c>
      <c r="B65" t="s">
        <v>1073</v>
      </c>
    </row>
    <row r="66" spans="1:2">
      <c r="A66" t="s">
        <v>438</v>
      </c>
      <c r="B66" t="s">
        <v>1073</v>
      </c>
    </row>
    <row r="67" spans="1:2">
      <c r="A67" t="s">
        <v>440</v>
      </c>
      <c r="B67" t="s">
        <v>1073</v>
      </c>
    </row>
    <row r="68" spans="1:2">
      <c r="A68" t="s">
        <v>488</v>
      </c>
      <c r="B68" t="s">
        <v>1073</v>
      </c>
    </row>
    <row r="69" spans="1:2">
      <c r="A69" t="s">
        <v>442</v>
      </c>
      <c r="B69" t="s">
        <v>1073</v>
      </c>
    </row>
    <row r="70" spans="1:2">
      <c r="A70" t="s">
        <v>444</v>
      </c>
      <c r="B70" t="s">
        <v>1073</v>
      </c>
    </row>
    <row r="71" spans="1:2">
      <c r="A71" t="s">
        <v>446</v>
      </c>
      <c r="B71" t="s">
        <v>1073</v>
      </c>
    </row>
    <row r="72" spans="1:2">
      <c r="A72" t="s">
        <v>448</v>
      </c>
      <c r="B72" t="s">
        <v>1073</v>
      </c>
    </row>
    <row r="73" spans="1:2">
      <c r="A73" t="s">
        <v>450</v>
      </c>
      <c r="B73" t="s">
        <v>1073</v>
      </c>
    </row>
    <row r="74" spans="1:2">
      <c r="A74" t="s">
        <v>452</v>
      </c>
      <c r="B74" t="s">
        <v>1073</v>
      </c>
    </row>
    <row r="75" spans="1:2">
      <c r="A75" t="s">
        <v>454</v>
      </c>
      <c r="B75" t="s">
        <v>1073</v>
      </c>
    </row>
    <row r="76" spans="1:2">
      <c r="A76" t="s">
        <v>456</v>
      </c>
      <c r="B76" t="s">
        <v>1073</v>
      </c>
    </row>
    <row r="77" spans="1:2">
      <c r="A77" t="s">
        <v>458</v>
      </c>
      <c r="B77" t="s">
        <v>1073</v>
      </c>
    </row>
    <row r="78" spans="1:2">
      <c r="A78" t="s">
        <v>460</v>
      </c>
      <c r="B78" t="s">
        <v>1073</v>
      </c>
    </row>
    <row r="79" spans="1:2">
      <c r="A79" t="s">
        <v>462</v>
      </c>
      <c r="B79" t="s">
        <v>1073</v>
      </c>
    </row>
    <row r="80" spans="1:2">
      <c r="A80" t="s">
        <v>464</v>
      </c>
      <c r="B80" t="s">
        <v>1073</v>
      </c>
    </row>
    <row r="81" spans="1:2">
      <c r="A81" t="s">
        <v>466</v>
      </c>
      <c r="B81" t="s">
        <v>1073</v>
      </c>
    </row>
    <row r="82" spans="1:2">
      <c r="A82" t="s">
        <v>468</v>
      </c>
      <c r="B82" t="s">
        <v>1073</v>
      </c>
    </row>
    <row r="83" spans="1:2">
      <c r="A83" t="s">
        <v>470</v>
      </c>
      <c r="B83" t="s">
        <v>1073</v>
      </c>
    </row>
    <row r="84" spans="1:2">
      <c r="A84" t="s">
        <v>472</v>
      </c>
      <c r="B84" t="s">
        <v>1073</v>
      </c>
    </row>
    <row r="85" spans="1:2">
      <c r="A85" t="s">
        <v>474</v>
      </c>
      <c r="B85" t="s">
        <v>1073</v>
      </c>
    </row>
    <row r="86" spans="1:2">
      <c r="A86" t="s">
        <v>476</v>
      </c>
      <c r="B86" t="s">
        <v>1073</v>
      </c>
    </row>
    <row r="87" spans="1:2">
      <c r="A87" t="s">
        <v>478</v>
      </c>
      <c r="B87" t="s">
        <v>1073</v>
      </c>
    </row>
    <row r="88" spans="1:2">
      <c r="A88" t="s">
        <v>480</v>
      </c>
      <c r="B88" t="s">
        <v>1073</v>
      </c>
    </row>
    <row r="89" spans="1:2">
      <c r="A89" t="s">
        <v>963</v>
      </c>
      <c r="B89" t="s">
        <v>1073</v>
      </c>
    </row>
    <row r="90" spans="1:2">
      <c r="A90" t="s">
        <v>482</v>
      </c>
      <c r="B90" t="s">
        <v>1073</v>
      </c>
    </row>
    <row r="91" spans="1:2">
      <c r="A91" t="s">
        <v>484</v>
      </c>
      <c r="B91" t="s">
        <v>1073</v>
      </c>
    </row>
    <row r="92" spans="1:2">
      <c r="A92" t="s">
        <v>486</v>
      </c>
      <c r="B92" t="s">
        <v>1073</v>
      </c>
    </row>
    <row r="93" spans="1:2">
      <c r="A93" t="s">
        <v>489</v>
      </c>
      <c r="B93" t="s">
        <v>1073</v>
      </c>
    </row>
    <row r="94" spans="1:2">
      <c r="A94" t="s">
        <v>491</v>
      </c>
      <c r="B94" t="s">
        <v>1073</v>
      </c>
    </row>
    <row r="95" spans="1:2">
      <c r="A95" t="s">
        <v>493</v>
      </c>
      <c r="B95" t="s">
        <v>1073</v>
      </c>
    </row>
    <row r="96" spans="1:2">
      <c r="A96" t="s">
        <v>495</v>
      </c>
      <c r="B96" t="s">
        <v>1073</v>
      </c>
    </row>
    <row r="97" spans="1:2">
      <c r="A97" t="s">
        <v>497</v>
      </c>
      <c r="B97" t="s">
        <v>1073</v>
      </c>
    </row>
    <row r="98" spans="1:2">
      <c r="A98" t="s">
        <v>499</v>
      </c>
      <c r="B98" t="s">
        <v>1073</v>
      </c>
    </row>
    <row r="99" spans="1:2">
      <c r="A99" t="s">
        <v>501</v>
      </c>
      <c r="B99" t="s">
        <v>1073</v>
      </c>
    </row>
    <row r="100" spans="1:2">
      <c r="A100" t="s">
        <v>503</v>
      </c>
      <c r="B100" t="s">
        <v>1073</v>
      </c>
    </row>
    <row r="101" spans="1:2">
      <c r="A101" t="s">
        <v>505</v>
      </c>
      <c r="B101" t="s">
        <v>1073</v>
      </c>
    </row>
    <row r="102" spans="1:2">
      <c r="A102" t="s">
        <v>507</v>
      </c>
      <c r="B102" t="s">
        <v>1073</v>
      </c>
    </row>
    <row r="103" spans="1:2">
      <c r="A103" t="s">
        <v>509</v>
      </c>
      <c r="B103" t="s">
        <v>1073</v>
      </c>
    </row>
    <row r="104" spans="1:2">
      <c r="A104" t="s">
        <v>511</v>
      </c>
      <c r="B104" t="s">
        <v>1073</v>
      </c>
    </row>
    <row r="105" spans="1:2">
      <c r="A105" t="s">
        <v>513</v>
      </c>
      <c r="B105" t="s">
        <v>1073</v>
      </c>
    </row>
    <row r="106" spans="1:2">
      <c r="A106" t="s">
        <v>515</v>
      </c>
      <c r="B106" t="s">
        <v>1073</v>
      </c>
    </row>
    <row r="107" spans="1:2">
      <c r="A107" t="s">
        <v>517</v>
      </c>
      <c r="B107" t="s">
        <v>1073</v>
      </c>
    </row>
    <row r="108" spans="1:2">
      <c r="A108" t="s">
        <v>519</v>
      </c>
      <c r="B108" t="s">
        <v>1073</v>
      </c>
    </row>
    <row r="109" spans="1:2">
      <c r="A109" t="s">
        <v>521</v>
      </c>
      <c r="B109" t="s">
        <v>1073</v>
      </c>
    </row>
    <row r="110" spans="1:2">
      <c r="A110" t="s">
        <v>523</v>
      </c>
      <c r="B110" t="s">
        <v>1073</v>
      </c>
    </row>
    <row r="111" spans="1:2">
      <c r="A111" t="s">
        <v>525</v>
      </c>
      <c r="B111" t="s">
        <v>1073</v>
      </c>
    </row>
    <row r="112" spans="1:2">
      <c r="A112" t="s">
        <v>527</v>
      </c>
      <c r="B112" t="s">
        <v>1073</v>
      </c>
    </row>
    <row r="113" spans="1:2">
      <c r="A113" t="s">
        <v>529</v>
      </c>
      <c r="B113" t="s">
        <v>1073</v>
      </c>
    </row>
    <row r="114" spans="1:2">
      <c r="A114" t="s">
        <v>531</v>
      </c>
      <c r="B114" t="s">
        <v>1073</v>
      </c>
    </row>
    <row r="115" spans="1:2">
      <c r="A115" t="s">
        <v>991</v>
      </c>
      <c r="B115" t="s">
        <v>1073</v>
      </c>
    </row>
    <row r="116" spans="1:2">
      <c r="A116" t="s">
        <v>533</v>
      </c>
      <c r="B116" t="s">
        <v>1073</v>
      </c>
    </row>
    <row r="117" spans="1:2">
      <c r="A117" t="s">
        <v>535</v>
      </c>
      <c r="B117" t="s">
        <v>1073</v>
      </c>
    </row>
    <row r="118" spans="1:2">
      <c r="A118" t="s">
        <v>537</v>
      </c>
      <c r="B118" t="s">
        <v>1073</v>
      </c>
    </row>
    <row r="119" spans="1:2">
      <c r="A119" t="s">
        <v>539</v>
      </c>
      <c r="B119" t="s">
        <v>1073</v>
      </c>
    </row>
    <row r="120" spans="1:2">
      <c r="A120" t="s">
        <v>543</v>
      </c>
      <c r="B120" t="s">
        <v>1073</v>
      </c>
    </row>
    <row r="121" spans="1:2">
      <c r="A121" t="s">
        <v>546</v>
      </c>
      <c r="B121" t="s">
        <v>1073</v>
      </c>
    </row>
    <row r="122" spans="1:2">
      <c r="A122" t="s">
        <v>548</v>
      </c>
      <c r="B122" t="s">
        <v>1073</v>
      </c>
    </row>
    <row r="123" spans="1:2">
      <c r="A123" t="s">
        <v>550</v>
      </c>
      <c r="B123" t="s">
        <v>1073</v>
      </c>
    </row>
    <row r="124" spans="1:2">
      <c r="A124" t="s">
        <v>552</v>
      </c>
      <c r="B124" t="s">
        <v>1073</v>
      </c>
    </row>
    <row r="125" spans="1:2">
      <c r="A125" t="s">
        <v>554</v>
      </c>
      <c r="B125" t="s">
        <v>1073</v>
      </c>
    </row>
    <row r="126" spans="1:2">
      <c r="A126" t="s">
        <v>556</v>
      </c>
      <c r="B126" t="s">
        <v>1073</v>
      </c>
    </row>
    <row r="127" spans="1:2">
      <c r="A127" t="s">
        <v>618</v>
      </c>
      <c r="B127" t="s">
        <v>1073</v>
      </c>
    </row>
    <row r="128" spans="1:2">
      <c r="A128" t="s">
        <v>592</v>
      </c>
      <c r="B128" t="s">
        <v>1073</v>
      </c>
    </row>
    <row r="129" spans="1:2">
      <c r="A129" t="s">
        <v>562</v>
      </c>
      <c r="B129" t="s">
        <v>1073</v>
      </c>
    </row>
    <row r="130" spans="1:2">
      <c r="A130" t="s">
        <v>564</v>
      </c>
      <c r="B130" t="s">
        <v>1073</v>
      </c>
    </row>
    <row r="131" spans="1:2">
      <c r="A131" t="s">
        <v>566</v>
      </c>
      <c r="B131" t="s">
        <v>1073</v>
      </c>
    </row>
    <row r="132" spans="1:2">
      <c r="A132" t="s">
        <v>568</v>
      </c>
      <c r="B132" t="s">
        <v>1073</v>
      </c>
    </row>
    <row r="133" spans="1:2">
      <c r="A133" t="s">
        <v>570</v>
      </c>
      <c r="B133" t="s">
        <v>1073</v>
      </c>
    </row>
    <row r="134" spans="1:2">
      <c r="A134" t="s">
        <v>572</v>
      </c>
      <c r="B134" t="s">
        <v>1073</v>
      </c>
    </row>
    <row r="135" spans="1:2">
      <c r="A135" t="s">
        <v>574</v>
      </c>
      <c r="B135" t="s">
        <v>1073</v>
      </c>
    </row>
    <row r="136" spans="1:2">
      <c r="A136" t="s">
        <v>987</v>
      </c>
      <c r="B136" t="s">
        <v>1073</v>
      </c>
    </row>
    <row r="137" spans="1:2">
      <c r="A137" t="s">
        <v>576</v>
      </c>
      <c r="B137" t="s">
        <v>1073</v>
      </c>
    </row>
    <row r="138" spans="1:2">
      <c r="A138" t="s">
        <v>578</v>
      </c>
      <c r="B138" t="s">
        <v>1073</v>
      </c>
    </row>
    <row r="139" spans="1:2">
      <c r="A139" t="s">
        <v>580</v>
      </c>
      <c r="B139" t="s">
        <v>1073</v>
      </c>
    </row>
    <row r="140" spans="1:2">
      <c r="A140" t="s">
        <v>582</v>
      </c>
      <c r="B140" t="s">
        <v>1073</v>
      </c>
    </row>
    <row r="141" spans="1:2">
      <c r="A141" t="s">
        <v>584</v>
      </c>
      <c r="B141" t="s">
        <v>1073</v>
      </c>
    </row>
    <row r="142" spans="1:2">
      <c r="A142" t="s">
        <v>586</v>
      </c>
      <c r="B142" t="s">
        <v>1073</v>
      </c>
    </row>
    <row r="143" spans="1:2">
      <c r="A143" t="s">
        <v>588</v>
      </c>
      <c r="B143" t="s">
        <v>1073</v>
      </c>
    </row>
    <row r="144" spans="1:2">
      <c r="A144" t="s">
        <v>590</v>
      </c>
      <c r="B144" t="s">
        <v>1073</v>
      </c>
    </row>
    <row r="145" spans="1:2">
      <c r="A145" t="s">
        <v>594</v>
      </c>
      <c r="B145" t="s">
        <v>1073</v>
      </c>
    </row>
    <row r="146" spans="1:2">
      <c r="A146" t="s">
        <v>596</v>
      </c>
      <c r="B146" t="s">
        <v>1073</v>
      </c>
    </row>
    <row r="147" spans="1:2">
      <c r="A147" t="s">
        <v>598</v>
      </c>
      <c r="B147" t="s">
        <v>1073</v>
      </c>
    </row>
    <row r="148" spans="1:2">
      <c r="A148" t="s">
        <v>600</v>
      </c>
      <c r="B148" t="s">
        <v>1073</v>
      </c>
    </row>
    <row r="149" spans="1:2">
      <c r="A149" t="s">
        <v>602</v>
      </c>
      <c r="B149" t="s">
        <v>1073</v>
      </c>
    </row>
    <row r="150" spans="1:2">
      <c r="A150" t="s">
        <v>604</v>
      </c>
      <c r="B150" t="s">
        <v>1073</v>
      </c>
    </row>
    <row r="151" spans="1:2">
      <c r="A151" t="s">
        <v>606</v>
      </c>
      <c r="B151" t="s">
        <v>1073</v>
      </c>
    </row>
    <row r="152" spans="1:2">
      <c r="A152" t="s">
        <v>608</v>
      </c>
      <c r="B152" t="s">
        <v>1073</v>
      </c>
    </row>
    <row r="153" spans="1:2">
      <c r="A153" t="s">
        <v>610</v>
      </c>
      <c r="B153" t="s">
        <v>1073</v>
      </c>
    </row>
    <row r="154" spans="1:2">
      <c r="A154" t="s">
        <v>612</v>
      </c>
      <c r="B154" t="s">
        <v>1073</v>
      </c>
    </row>
    <row r="155" spans="1:2">
      <c r="A155" t="s">
        <v>614</v>
      </c>
      <c r="B155" t="s">
        <v>1073</v>
      </c>
    </row>
    <row r="156" spans="1:2">
      <c r="A156" t="s">
        <v>616</v>
      </c>
      <c r="B156" t="s">
        <v>1073</v>
      </c>
    </row>
    <row r="157" spans="1:2">
      <c r="A157" t="s">
        <v>620</v>
      </c>
      <c r="B157" t="s">
        <v>1073</v>
      </c>
    </row>
    <row r="158" spans="1:2">
      <c r="A158" t="s">
        <v>622</v>
      </c>
      <c r="B158" t="s">
        <v>1073</v>
      </c>
    </row>
    <row r="159" spans="1:2">
      <c r="A159" t="s">
        <v>624</v>
      </c>
      <c r="B159" t="s">
        <v>1073</v>
      </c>
    </row>
    <row r="160" spans="1:2">
      <c r="A160" t="s">
        <v>966</v>
      </c>
      <c r="B160" t="s">
        <v>1073</v>
      </c>
    </row>
    <row r="161" spans="1:2">
      <c r="A161" t="s">
        <v>626</v>
      </c>
      <c r="B161" t="s">
        <v>1073</v>
      </c>
    </row>
    <row r="162" spans="1:2">
      <c r="A162" t="s">
        <v>628</v>
      </c>
      <c r="B162" t="s">
        <v>1073</v>
      </c>
    </row>
    <row r="163" spans="1:2">
      <c r="A163" t="s">
        <v>630</v>
      </c>
      <c r="B163" t="s">
        <v>1073</v>
      </c>
    </row>
    <row r="164" spans="1:2">
      <c r="A164" t="s">
        <v>632</v>
      </c>
      <c r="B164" t="s">
        <v>1073</v>
      </c>
    </row>
    <row r="165" spans="1:2">
      <c r="A165" t="s">
        <v>634</v>
      </c>
      <c r="B165" t="s">
        <v>1073</v>
      </c>
    </row>
    <row r="166" spans="1:2">
      <c r="A166" t="s">
        <v>636</v>
      </c>
      <c r="B166" t="s">
        <v>1073</v>
      </c>
    </row>
    <row r="167" spans="1:2">
      <c r="A167" t="s">
        <v>638</v>
      </c>
      <c r="B167" t="s">
        <v>1073</v>
      </c>
    </row>
    <row r="168" spans="1:2">
      <c r="A168" t="s">
        <v>640</v>
      </c>
      <c r="B168" t="s">
        <v>1073</v>
      </c>
    </row>
    <row r="169" spans="1:2">
      <c r="A169" t="s">
        <v>642</v>
      </c>
      <c r="B169" t="s">
        <v>1073</v>
      </c>
    </row>
    <row r="170" spans="1:2">
      <c r="A170" t="s">
        <v>644</v>
      </c>
      <c r="B170" t="s">
        <v>1073</v>
      </c>
    </row>
    <row r="171" spans="1:2">
      <c r="A171" t="s">
        <v>646</v>
      </c>
      <c r="B171" t="s">
        <v>1073</v>
      </c>
    </row>
    <row r="172" spans="1:2">
      <c r="A172" t="s">
        <v>648</v>
      </c>
      <c r="B172" t="s">
        <v>1073</v>
      </c>
    </row>
    <row r="173" spans="1:2">
      <c r="A173" t="s">
        <v>650</v>
      </c>
      <c r="B173" t="s">
        <v>1073</v>
      </c>
    </row>
    <row r="174" spans="1:2">
      <c r="A174" t="s">
        <v>652</v>
      </c>
      <c r="B174" t="s">
        <v>1073</v>
      </c>
    </row>
    <row r="175" spans="1:2">
      <c r="A175" t="s">
        <v>654</v>
      </c>
      <c r="B175" t="s">
        <v>1073</v>
      </c>
    </row>
    <row r="176" spans="1:2">
      <c r="A176" t="s">
        <v>656</v>
      </c>
      <c r="B176" t="s">
        <v>1073</v>
      </c>
    </row>
    <row r="177" spans="1:2">
      <c r="A177" t="s">
        <v>658</v>
      </c>
      <c r="B177" t="s">
        <v>1073</v>
      </c>
    </row>
    <row r="178" spans="1:2">
      <c r="A178" t="s">
        <v>660</v>
      </c>
      <c r="B178" t="s">
        <v>1073</v>
      </c>
    </row>
    <row r="179" spans="1:2">
      <c r="A179" t="s">
        <v>662</v>
      </c>
      <c r="B179" t="s">
        <v>1073</v>
      </c>
    </row>
    <row r="180" spans="1:2">
      <c r="A180" t="s">
        <v>664</v>
      </c>
      <c r="B180" t="s">
        <v>1073</v>
      </c>
    </row>
    <row r="181" spans="1:2">
      <c r="A181" t="s">
        <v>666</v>
      </c>
      <c r="B181" t="s">
        <v>1073</v>
      </c>
    </row>
    <row r="182" spans="1:2">
      <c r="A182" t="s">
        <v>668</v>
      </c>
      <c r="B182" t="s">
        <v>1073</v>
      </c>
    </row>
    <row r="183" spans="1:2">
      <c r="A183" t="s">
        <v>670</v>
      </c>
      <c r="B183" t="s">
        <v>1073</v>
      </c>
    </row>
    <row r="184" spans="1:2">
      <c r="A184" t="s">
        <v>672</v>
      </c>
      <c r="B184" t="s">
        <v>1073</v>
      </c>
    </row>
    <row r="185" spans="1:2">
      <c r="A185" t="s">
        <v>674</v>
      </c>
      <c r="B185" t="s">
        <v>1073</v>
      </c>
    </row>
    <row r="186" spans="1:2">
      <c r="A186" t="s">
        <v>932</v>
      </c>
      <c r="B186" t="s">
        <v>1073</v>
      </c>
    </row>
    <row r="187" spans="1:2">
      <c r="A187" t="s">
        <v>822</v>
      </c>
      <c r="B187" t="s">
        <v>1073</v>
      </c>
    </row>
    <row r="188" spans="1:2">
      <c r="A188" t="s">
        <v>777</v>
      </c>
      <c r="B188" t="s">
        <v>1073</v>
      </c>
    </row>
    <row r="189" spans="1:2">
      <c r="A189" t="s">
        <v>677</v>
      </c>
      <c r="B189" t="s">
        <v>1073</v>
      </c>
    </row>
    <row r="190" spans="1:2">
      <c r="A190" t="s">
        <v>679</v>
      </c>
      <c r="B190" t="s">
        <v>1073</v>
      </c>
    </row>
    <row r="191" spans="1:2">
      <c r="A191" t="s">
        <v>681</v>
      </c>
      <c r="B191" t="s">
        <v>1073</v>
      </c>
    </row>
    <row r="192" spans="1:2">
      <c r="A192" t="s">
        <v>985</v>
      </c>
      <c r="B192" t="s">
        <v>1073</v>
      </c>
    </row>
    <row r="193" spans="1:2">
      <c r="A193" t="s">
        <v>683</v>
      </c>
      <c r="B193" t="s">
        <v>1073</v>
      </c>
    </row>
    <row r="194" spans="1:2">
      <c r="A194" t="s">
        <v>686</v>
      </c>
      <c r="B194" t="s">
        <v>1073</v>
      </c>
    </row>
    <row r="195" spans="1:2">
      <c r="A195" t="s">
        <v>688</v>
      </c>
      <c r="B195" t="s">
        <v>1073</v>
      </c>
    </row>
    <row r="196" spans="1:2">
      <c r="A196" t="s">
        <v>690</v>
      </c>
      <c r="B196" t="s">
        <v>1073</v>
      </c>
    </row>
    <row r="197" spans="1:2">
      <c r="A197" t="s">
        <v>692</v>
      </c>
      <c r="B197" t="s">
        <v>1073</v>
      </c>
    </row>
    <row r="198" spans="1:2">
      <c r="A198" t="s">
        <v>694</v>
      </c>
      <c r="B198" t="s">
        <v>1073</v>
      </c>
    </row>
    <row r="199" spans="1:2">
      <c r="A199" t="s">
        <v>696</v>
      </c>
      <c r="B199" t="s">
        <v>1073</v>
      </c>
    </row>
    <row r="200" spans="1:2">
      <c r="A200" t="s">
        <v>698</v>
      </c>
      <c r="B200" t="s">
        <v>1073</v>
      </c>
    </row>
    <row r="201" spans="1:2">
      <c r="A201" t="s">
        <v>700</v>
      </c>
      <c r="B201" t="s">
        <v>1073</v>
      </c>
    </row>
    <row r="202" spans="1:2">
      <c r="A202" t="s">
        <v>702</v>
      </c>
      <c r="B202" t="s">
        <v>1073</v>
      </c>
    </row>
    <row r="203" spans="1:2">
      <c r="A203" t="s">
        <v>704</v>
      </c>
      <c r="B203" t="s">
        <v>1073</v>
      </c>
    </row>
    <row r="204" spans="1:2">
      <c r="A204" t="s">
        <v>706</v>
      </c>
      <c r="B204" t="s">
        <v>1073</v>
      </c>
    </row>
    <row r="205" spans="1:2">
      <c r="A205" t="s">
        <v>708</v>
      </c>
      <c r="B205" t="s">
        <v>1073</v>
      </c>
    </row>
    <row r="206" spans="1:2">
      <c r="A206" t="s">
        <v>710</v>
      </c>
      <c r="B206" t="s">
        <v>1073</v>
      </c>
    </row>
    <row r="207" spans="1:2">
      <c r="A207" t="s">
        <v>712</v>
      </c>
      <c r="B207" t="s">
        <v>1073</v>
      </c>
    </row>
    <row r="208" spans="1:2">
      <c r="A208" t="s">
        <v>714</v>
      </c>
      <c r="B208" t="s">
        <v>1073</v>
      </c>
    </row>
    <row r="209" spans="1:2">
      <c r="A209" t="s">
        <v>716</v>
      </c>
      <c r="B209" t="s">
        <v>1073</v>
      </c>
    </row>
    <row r="210" spans="1:2">
      <c r="A210" t="s">
        <v>718</v>
      </c>
      <c r="B210" t="s">
        <v>1073</v>
      </c>
    </row>
    <row r="211" spans="1:2">
      <c r="A211" t="s">
        <v>720</v>
      </c>
      <c r="B211" t="s">
        <v>1073</v>
      </c>
    </row>
    <row r="212" spans="1:2">
      <c r="A212" t="s">
        <v>722</v>
      </c>
      <c r="B212" t="s">
        <v>1073</v>
      </c>
    </row>
    <row r="213" spans="1:2">
      <c r="A213" t="s">
        <v>724</v>
      </c>
      <c r="B213" t="s">
        <v>1073</v>
      </c>
    </row>
    <row r="214" spans="1:2">
      <c r="A214" t="s">
        <v>726</v>
      </c>
      <c r="B214" t="s">
        <v>1073</v>
      </c>
    </row>
    <row r="215" spans="1:2">
      <c r="A215" t="s">
        <v>728</v>
      </c>
      <c r="B215" t="s">
        <v>1073</v>
      </c>
    </row>
    <row r="216" spans="1:2">
      <c r="A216" t="s">
        <v>730</v>
      </c>
      <c r="B216" t="s">
        <v>1073</v>
      </c>
    </row>
    <row r="217" spans="1:2">
      <c r="A217" t="s">
        <v>732</v>
      </c>
      <c r="B217" t="s">
        <v>1073</v>
      </c>
    </row>
    <row r="218" spans="1:2">
      <c r="A218" t="s">
        <v>733</v>
      </c>
      <c r="B218" t="s">
        <v>1073</v>
      </c>
    </row>
    <row r="219" spans="1:2">
      <c r="A219" t="s">
        <v>735</v>
      </c>
      <c r="B219" t="s">
        <v>1073</v>
      </c>
    </row>
    <row r="220" spans="1:2">
      <c r="A220" t="s">
        <v>737</v>
      </c>
      <c r="B220" t="s">
        <v>1073</v>
      </c>
    </row>
    <row r="221" spans="1:2">
      <c r="A221" t="s">
        <v>739</v>
      </c>
      <c r="B221" t="s">
        <v>1073</v>
      </c>
    </row>
    <row r="222" spans="1:2">
      <c r="A222" t="s">
        <v>741</v>
      </c>
      <c r="B222" t="s">
        <v>1073</v>
      </c>
    </row>
    <row r="223" spans="1:2">
      <c r="A223" t="s">
        <v>743</v>
      </c>
      <c r="B223" t="s">
        <v>1073</v>
      </c>
    </row>
    <row r="224" spans="1:2">
      <c r="A224" t="s">
        <v>745</v>
      </c>
      <c r="B224" t="s">
        <v>1073</v>
      </c>
    </row>
    <row r="225" spans="1:2">
      <c r="A225" t="s">
        <v>747</v>
      </c>
      <c r="B225" t="s">
        <v>1073</v>
      </c>
    </row>
    <row r="226" spans="1:2">
      <c r="A226" t="s">
        <v>749</v>
      </c>
      <c r="B226" t="s">
        <v>1073</v>
      </c>
    </row>
    <row r="227" spans="1:2">
      <c r="A227" t="s">
        <v>751</v>
      </c>
      <c r="B227" t="s">
        <v>1073</v>
      </c>
    </row>
    <row r="228" spans="1:2">
      <c r="A228" t="s">
        <v>753</v>
      </c>
      <c r="B228" t="s">
        <v>1073</v>
      </c>
    </row>
    <row r="229" spans="1:2">
      <c r="A229" t="s">
        <v>755</v>
      </c>
      <c r="B229" t="s">
        <v>1073</v>
      </c>
    </row>
    <row r="230" spans="1:2">
      <c r="A230" t="s">
        <v>757</v>
      </c>
      <c r="B230" t="s">
        <v>1073</v>
      </c>
    </row>
    <row r="231" spans="1:2">
      <c r="A231" t="s">
        <v>759</v>
      </c>
      <c r="B231" t="s">
        <v>1073</v>
      </c>
    </row>
    <row r="232" spans="1:2">
      <c r="A232" t="s">
        <v>761</v>
      </c>
      <c r="B232" t="s">
        <v>1073</v>
      </c>
    </row>
    <row r="233" spans="1:2">
      <c r="A233" t="s">
        <v>763</v>
      </c>
      <c r="B233" t="s">
        <v>1073</v>
      </c>
    </row>
    <row r="234" spans="1:2">
      <c r="A234" t="s">
        <v>765</v>
      </c>
      <c r="B234" t="s">
        <v>1073</v>
      </c>
    </row>
    <row r="235" spans="1:2">
      <c r="A235" t="s">
        <v>767</v>
      </c>
      <c r="B235" t="s">
        <v>1073</v>
      </c>
    </row>
    <row r="236" spans="1:2">
      <c r="A236" t="s">
        <v>769</v>
      </c>
      <c r="B236" t="s">
        <v>1073</v>
      </c>
    </row>
    <row r="237" spans="1:2">
      <c r="A237" t="s">
        <v>771</v>
      </c>
      <c r="B237" t="s">
        <v>1073</v>
      </c>
    </row>
    <row r="238" spans="1:2">
      <c r="A238" t="s">
        <v>773</v>
      </c>
      <c r="B238" t="s">
        <v>1073</v>
      </c>
    </row>
    <row r="239" spans="1:2">
      <c r="A239" t="s">
        <v>775</v>
      </c>
      <c r="B239" t="s">
        <v>1073</v>
      </c>
    </row>
    <row r="240" spans="1:2">
      <c r="A240" t="s">
        <v>779</v>
      </c>
      <c r="B240" t="s">
        <v>1073</v>
      </c>
    </row>
    <row r="241" spans="1:2">
      <c r="A241" t="s">
        <v>781</v>
      </c>
      <c r="B241" t="s">
        <v>1073</v>
      </c>
    </row>
    <row r="242" spans="1:2">
      <c r="A242" t="s">
        <v>783</v>
      </c>
      <c r="B242" t="s">
        <v>1073</v>
      </c>
    </row>
    <row r="243" spans="1:2">
      <c r="A243" t="s">
        <v>785</v>
      </c>
      <c r="B243" t="s">
        <v>1073</v>
      </c>
    </row>
    <row r="244" spans="1:2">
      <c r="A244" t="s">
        <v>787</v>
      </c>
      <c r="B244" t="s">
        <v>1073</v>
      </c>
    </row>
    <row r="245" spans="1:2">
      <c r="A245" t="s">
        <v>789</v>
      </c>
      <c r="B245" t="s">
        <v>1073</v>
      </c>
    </row>
    <row r="246" spans="1:2">
      <c r="A246" t="s">
        <v>791</v>
      </c>
      <c r="B246" t="s">
        <v>1073</v>
      </c>
    </row>
    <row r="247" spans="1:2">
      <c r="A247" t="s">
        <v>793</v>
      </c>
      <c r="B247" t="s">
        <v>1073</v>
      </c>
    </row>
    <row r="248" spans="1:2">
      <c r="A248" t="s">
        <v>795</v>
      </c>
      <c r="B248" t="s">
        <v>1073</v>
      </c>
    </row>
    <row r="249" spans="1:2">
      <c r="A249" t="s">
        <v>797</v>
      </c>
      <c r="B249" t="s">
        <v>1073</v>
      </c>
    </row>
    <row r="250" spans="1:2">
      <c r="A250" t="s">
        <v>798</v>
      </c>
      <c r="B250" t="s">
        <v>1073</v>
      </c>
    </row>
    <row r="251" spans="1:2">
      <c r="A251" t="s">
        <v>800</v>
      </c>
      <c r="B251" t="s">
        <v>1073</v>
      </c>
    </row>
    <row r="252" spans="1:2">
      <c r="A252" t="s">
        <v>802</v>
      </c>
      <c r="B252" t="s">
        <v>1073</v>
      </c>
    </row>
    <row r="253" spans="1:2">
      <c r="A253" t="s">
        <v>804</v>
      </c>
      <c r="B253" t="s">
        <v>1073</v>
      </c>
    </row>
    <row r="254" spans="1:2">
      <c r="A254" t="s">
        <v>806</v>
      </c>
      <c r="B254" t="s">
        <v>1073</v>
      </c>
    </row>
    <row r="255" spans="1:2">
      <c r="A255" t="s">
        <v>808</v>
      </c>
      <c r="B255" t="s">
        <v>1073</v>
      </c>
    </row>
    <row r="256" spans="1:2">
      <c r="A256" t="s">
        <v>810</v>
      </c>
      <c r="B256" t="s">
        <v>1073</v>
      </c>
    </row>
    <row r="257" spans="1:2">
      <c r="A257" t="s">
        <v>812</v>
      </c>
      <c r="B257" t="s">
        <v>1073</v>
      </c>
    </row>
    <row r="258" spans="1:2">
      <c r="A258" t="s">
        <v>814</v>
      </c>
      <c r="B258" t="s">
        <v>1073</v>
      </c>
    </row>
    <row r="259" spans="1:2">
      <c r="A259" t="s">
        <v>816</v>
      </c>
      <c r="B259" t="s">
        <v>1073</v>
      </c>
    </row>
    <row r="260" spans="1:2">
      <c r="A260" t="s">
        <v>818</v>
      </c>
      <c r="B260" t="s">
        <v>1073</v>
      </c>
    </row>
    <row r="261" spans="1:2">
      <c r="A261" t="s">
        <v>820</v>
      </c>
      <c r="B261" t="s">
        <v>1073</v>
      </c>
    </row>
    <row r="262" spans="1:2">
      <c r="A262" t="s">
        <v>824</v>
      </c>
      <c r="B262" t="s">
        <v>1073</v>
      </c>
    </row>
    <row r="263" spans="1:2">
      <c r="A263" t="s">
        <v>826</v>
      </c>
      <c r="B263" t="s">
        <v>1073</v>
      </c>
    </row>
    <row r="264" spans="1:2">
      <c r="A264" t="s">
        <v>828</v>
      </c>
      <c r="B264" t="s">
        <v>1073</v>
      </c>
    </row>
    <row r="265" spans="1:2">
      <c r="A265" t="s">
        <v>830</v>
      </c>
      <c r="B265" t="s">
        <v>1073</v>
      </c>
    </row>
    <row r="266" spans="1:2">
      <c r="A266" t="s">
        <v>832</v>
      </c>
      <c r="B266" t="s">
        <v>1073</v>
      </c>
    </row>
    <row r="267" spans="1:2">
      <c r="A267" t="s">
        <v>834</v>
      </c>
      <c r="B267" t="s">
        <v>1073</v>
      </c>
    </row>
    <row r="268" spans="1:2">
      <c r="A268" t="s">
        <v>836</v>
      </c>
      <c r="B268" t="s">
        <v>1073</v>
      </c>
    </row>
    <row r="269" spans="1:2">
      <c r="A269" t="s">
        <v>837</v>
      </c>
      <c r="B269" t="s">
        <v>1073</v>
      </c>
    </row>
    <row r="270" spans="1:2">
      <c r="A270" t="s">
        <v>839</v>
      </c>
      <c r="B270" t="s">
        <v>1073</v>
      </c>
    </row>
    <row r="271" spans="1:2">
      <c r="A271" t="s">
        <v>841</v>
      </c>
      <c r="B271" t="s">
        <v>1073</v>
      </c>
    </row>
    <row r="272" spans="1:2">
      <c r="A272" t="s">
        <v>843</v>
      </c>
      <c r="B272" t="s">
        <v>1073</v>
      </c>
    </row>
    <row r="273" spans="1:2">
      <c r="A273" t="s">
        <v>845</v>
      </c>
      <c r="B273" t="s">
        <v>1073</v>
      </c>
    </row>
    <row r="274" spans="1:2">
      <c r="A274" t="s">
        <v>847</v>
      </c>
      <c r="B274" t="s">
        <v>1073</v>
      </c>
    </row>
    <row r="275" spans="1:2">
      <c r="A275" t="s">
        <v>849</v>
      </c>
      <c r="B275" t="s">
        <v>1073</v>
      </c>
    </row>
    <row r="276" spans="1:2">
      <c r="A276" t="s">
        <v>851</v>
      </c>
      <c r="B276" t="s">
        <v>1073</v>
      </c>
    </row>
    <row r="277" spans="1:2">
      <c r="A277" t="s">
        <v>853</v>
      </c>
      <c r="B277" t="s">
        <v>1073</v>
      </c>
    </row>
    <row r="278" spans="1:2">
      <c r="A278" t="s">
        <v>855</v>
      </c>
      <c r="B278" t="s">
        <v>1073</v>
      </c>
    </row>
    <row r="279" spans="1:2">
      <c r="A279" t="s">
        <v>857</v>
      </c>
      <c r="B279" t="s">
        <v>1073</v>
      </c>
    </row>
    <row r="280" spans="1:2">
      <c r="A280" t="s">
        <v>859</v>
      </c>
      <c r="B280" t="s">
        <v>1073</v>
      </c>
    </row>
    <row r="281" spans="1:2">
      <c r="A281" t="s">
        <v>860</v>
      </c>
      <c r="B281" t="s">
        <v>1073</v>
      </c>
    </row>
    <row r="282" spans="1:2">
      <c r="A282" t="s">
        <v>862</v>
      </c>
      <c r="B282" t="s">
        <v>1073</v>
      </c>
    </row>
    <row r="283" spans="1:2">
      <c r="A283" t="s">
        <v>864</v>
      </c>
      <c r="B283" t="s">
        <v>1073</v>
      </c>
    </row>
    <row r="284" spans="1:2">
      <c r="A284" t="s">
        <v>866</v>
      </c>
      <c r="B284" t="s">
        <v>1073</v>
      </c>
    </row>
    <row r="285" spans="1:2">
      <c r="A285" t="s">
        <v>868</v>
      </c>
      <c r="B285" t="s">
        <v>1073</v>
      </c>
    </row>
    <row r="286" spans="1:2">
      <c r="A286" t="s">
        <v>870</v>
      </c>
      <c r="B286" t="s">
        <v>1073</v>
      </c>
    </row>
    <row r="287" spans="1:2">
      <c r="A287" t="s">
        <v>872</v>
      </c>
      <c r="B287" t="s">
        <v>1073</v>
      </c>
    </row>
    <row r="288" spans="1:2">
      <c r="A288" t="s">
        <v>873</v>
      </c>
      <c r="B288" t="s">
        <v>1073</v>
      </c>
    </row>
    <row r="289" spans="1:2">
      <c r="A289" t="s">
        <v>875</v>
      </c>
      <c r="B289" t="s">
        <v>1073</v>
      </c>
    </row>
    <row r="290" spans="1:2">
      <c r="A290" t="s">
        <v>930</v>
      </c>
      <c r="B290" t="s">
        <v>1073</v>
      </c>
    </row>
    <row r="291" spans="1:2">
      <c r="A291" t="s">
        <v>876</v>
      </c>
      <c r="B291" t="s">
        <v>1073</v>
      </c>
    </row>
    <row r="292" spans="1:2">
      <c r="A292" t="s">
        <v>878</v>
      </c>
      <c r="B292" t="s">
        <v>1073</v>
      </c>
    </row>
    <row r="293" spans="1:2">
      <c r="A293" t="s">
        <v>880</v>
      </c>
      <c r="B293" t="s">
        <v>1073</v>
      </c>
    </row>
    <row r="294" spans="1:2">
      <c r="A294" t="s">
        <v>882</v>
      </c>
      <c r="B294" t="s">
        <v>1073</v>
      </c>
    </row>
    <row r="295" spans="1:2">
      <c r="A295" t="s">
        <v>884</v>
      </c>
      <c r="B295" t="s">
        <v>1073</v>
      </c>
    </row>
    <row r="296" spans="1:2">
      <c r="A296" t="s">
        <v>885</v>
      </c>
      <c r="B296" t="s">
        <v>1073</v>
      </c>
    </row>
    <row r="297" spans="1:2">
      <c r="A297" t="s">
        <v>887</v>
      </c>
      <c r="B297" t="s">
        <v>1073</v>
      </c>
    </row>
    <row r="298" spans="1:2">
      <c r="A298" t="s">
        <v>889</v>
      </c>
      <c r="B298" t="s">
        <v>1073</v>
      </c>
    </row>
    <row r="299" spans="1:2">
      <c r="A299" t="s">
        <v>890</v>
      </c>
      <c r="B299" t="s">
        <v>1073</v>
      </c>
    </row>
    <row r="300" spans="1:2">
      <c r="A300" t="s">
        <v>892</v>
      </c>
      <c r="B300" t="s">
        <v>1073</v>
      </c>
    </row>
    <row r="301" spans="1:2">
      <c r="A301" t="s">
        <v>894</v>
      </c>
      <c r="B301" t="s">
        <v>1073</v>
      </c>
    </row>
    <row r="302" spans="1:2">
      <c r="A302" t="s">
        <v>896</v>
      </c>
      <c r="B302" t="s">
        <v>1073</v>
      </c>
    </row>
    <row r="303" spans="1:2">
      <c r="A303" t="s">
        <v>898</v>
      </c>
      <c r="B303" t="s">
        <v>1073</v>
      </c>
    </row>
    <row r="304" spans="1:2">
      <c r="A304" t="s">
        <v>900</v>
      </c>
      <c r="B304" t="s">
        <v>1073</v>
      </c>
    </row>
    <row r="305" spans="1:2">
      <c r="A305" t="s">
        <v>902</v>
      </c>
      <c r="B305" t="s">
        <v>1073</v>
      </c>
    </row>
    <row r="306" spans="1:2">
      <c r="A306" t="s">
        <v>904</v>
      </c>
      <c r="B306" t="s">
        <v>1073</v>
      </c>
    </row>
    <row r="307" spans="1:2">
      <c r="A307" t="s">
        <v>906</v>
      </c>
      <c r="B307" t="s">
        <v>1073</v>
      </c>
    </row>
    <row r="308" spans="1:2">
      <c r="A308" t="s">
        <v>908</v>
      </c>
      <c r="B308" t="s">
        <v>1073</v>
      </c>
    </row>
    <row r="309" spans="1:2">
      <c r="A309" t="s">
        <v>910</v>
      </c>
      <c r="B309" t="s">
        <v>1073</v>
      </c>
    </row>
    <row r="310" spans="1:2">
      <c r="A310" t="s">
        <v>912</v>
      </c>
      <c r="B310" t="s">
        <v>1073</v>
      </c>
    </row>
    <row r="311" spans="1:2">
      <c r="A311" t="s">
        <v>914</v>
      </c>
      <c r="B311" t="s">
        <v>1073</v>
      </c>
    </row>
    <row r="312" spans="1:2">
      <c r="A312" t="s">
        <v>916</v>
      </c>
      <c r="B312" t="s">
        <v>1073</v>
      </c>
    </row>
    <row r="313" spans="1:2">
      <c r="A313" t="s">
        <v>918</v>
      </c>
      <c r="B313" t="s">
        <v>1073</v>
      </c>
    </row>
    <row r="314" spans="1:2">
      <c r="A314" t="s">
        <v>920</v>
      </c>
      <c r="B314" t="s">
        <v>1073</v>
      </c>
    </row>
    <row r="315" spans="1:2">
      <c r="A315" t="s">
        <v>922</v>
      </c>
      <c r="B315" t="s">
        <v>1073</v>
      </c>
    </row>
    <row r="316" spans="1:2">
      <c r="A316" t="s">
        <v>924</v>
      </c>
      <c r="B316" t="s">
        <v>1073</v>
      </c>
    </row>
    <row r="317" spans="1:2">
      <c r="A317" t="s">
        <v>926</v>
      </c>
      <c r="B317" t="s">
        <v>1073</v>
      </c>
    </row>
    <row r="318" spans="1:2">
      <c r="A318" t="s">
        <v>928</v>
      </c>
      <c r="B318" t="s">
        <v>1073</v>
      </c>
    </row>
    <row r="319" spans="1:2">
      <c r="A319" t="s">
        <v>994</v>
      </c>
      <c r="B319" t="s">
        <v>1073</v>
      </c>
    </row>
    <row r="320" spans="1:2">
      <c r="A320" t="s">
        <v>934</v>
      </c>
      <c r="B320" t="s">
        <v>1073</v>
      </c>
    </row>
    <row r="321" spans="1:2">
      <c r="A321" t="s">
        <v>936</v>
      </c>
      <c r="B321" t="s">
        <v>1073</v>
      </c>
    </row>
    <row r="322" spans="1:2">
      <c r="A322" t="s">
        <v>938</v>
      </c>
      <c r="B322" t="s">
        <v>1073</v>
      </c>
    </row>
    <row r="323" spans="1:2">
      <c r="A323" t="s">
        <v>940</v>
      </c>
      <c r="B323" t="s">
        <v>1073</v>
      </c>
    </row>
    <row r="324" spans="1:2">
      <c r="A324" t="s">
        <v>942</v>
      </c>
      <c r="B324" t="s">
        <v>1073</v>
      </c>
    </row>
    <row r="325" spans="1:2">
      <c r="A325" t="s">
        <v>944</v>
      </c>
      <c r="B325" t="s">
        <v>1073</v>
      </c>
    </row>
    <row r="326" spans="1:2">
      <c r="A326" t="s">
        <v>946</v>
      </c>
      <c r="B326" t="s">
        <v>1073</v>
      </c>
    </row>
    <row r="327" spans="1:2">
      <c r="A327" t="s">
        <v>948</v>
      </c>
      <c r="B327" t="s">
        <v>1073</v>
      </c>
    </row>
    <row r="328" spans="1:2">
      <c r="A328" t="s">
        <v>950</v>
      </c>
      <c r="B328" t="s">
        <v>1073</v>
      </c>
    </row>
    <row r="329" spans="1:2">
      <c r="A329" t="s">
        <v>951</v>
      </c>
      <c r="B329" t="s">
        <v>1073</v>
      </c>
    </row>
    <row r="330" spans="1:2">
      <c r="A330" t="s">
        <v>953</v>
      </c>
      <c r="B330" t="s">
        <v>1073</v>
      </c>
    </row>
    <row r="331" spans="1:2">
      <c r="A331" t="s">
        <v>954</v>
      </c>
      <c r="B331" t="s">
        <v>1073</v>
      </c>
    </row>
    <row r="332" spans="1:2">
      <c r="A332" t="s">
        <v>956</v>
      </c>
      <c r="B332" t="s">
        <v>1073</v>
      </c>
    </row>
    <row r="333" spans="1:2">
      <c r="A333" t="s">
        <v>957</v>
      </c>
      <c r="B333" t="s">
        <v>1073</v>
      </c>
    </row>
    <row r="334" spans="1:2">
      <c r="A334" t="s">
        <v>959</v>
      </c>
      <c r="B334" t="s">
        <v>1073</v>
      </c>
    </row>
    <row r="335" spans="1:2">
      <c r="A335" t="s">
        <v>271</v>
      </c>
      <c r="B335" t="s">
        <v>1074</v>
      </c>
    </row>
    <row r="336" spans="1:2">
      <c r="A336" t="s">
        <v>167</v>
      </c>
      <c r="B336" t="s">
        <v>1074</v>
      </c>
    </row>
    <row r="337" spans="1:2">
      <c r="A337" t="s">
        <v>168</v>
      </c>
      <c r="B337" t="s">
        <v>1074</v>
      </c>
    </row>
    <row r="338" spans="1:2">
      <c r="A338" t="s">
        <v>169</v>
      </c>
      <c r="B338" t="s">
        <v>1074</v>
      </c>
    </row>
    <row r="339" spans="1:2">
      <c r="A339" t="s">
        <v>243</v>
      </c>
      <c r="B339" t="s">
        <v>1074</v>
      </c>
    </row>
    <row r="340" spans="1:2">
      <c r="A340" t="s">
        <v>259</v>
      </c>
      <c r="B340" t="s">
        <v>1073</v>
      </c>
    </row>
    <row r="341" spans="1:2">
      <c r="A341" t="s">
        <v>260</v>
      </c>
      <c r="B341" t="s">
        <v>1073</v>
      </c>
    </row>
    <row r="342" spans="1:2">
      <c r="A342" t="s">
        <v>161</v>
      </c>
      <c r="B342" t="s">
        <v>1074</v>
      </c>
    </row>
    <row r="343" spans="1:2">
      <c r="A343" t="s">
        <v>164</v>
      </c>
      <c r="B343" t="s">
        <v>1074</v>
      </c>
    </row>
    <row r="344" spans="1:2">
      <c r="A344" t="s">
        <v>154</v>
      </c>
      <c r="B344" t="s">
        <v>1074</v>
      </c>
    </row>
    <row r="345" spans="1:2">
      <c r="A345" t="s">
        <v>156</v>
      </c>
      <c r="B345" t="s">
        <v>1074</v>
      </c>
    </row>
    <row r="346" spans="1:2">
      <c r="A346" t="s">
        <v>252</v>
      </c>
      <c r="B346" t="s">
        <v>1074</v>
      </c>
    </row>
    <row r="347" spans="1:2">
      <c r="A347" t="s">
        <v>251</v>
      </c>
      <c r="B347" t="s">
        <v>1074</v>
      </c>
    </row>
    <row r="348" spans="1:2">
      <c r="A348" t="s">
        <v>272</v>
      </c>
      <c r="B348" t="s">
        <v>1073</v>
      </c>
    </row>
    <row r="349" spans="1:2">
      <c r="A349" t="s">
        <v>227</v>
      </c>
      <c r="B349" t="s">
        <v>1074</v>
      </c>
    </row>
    <row r="350" spans="1:2">
      <c r="A350" t="s">
        <v>162</v>
      </c>
      <c r="B350" t="s">
        <v>1074</v>
      </c>
    </row>
    <row r="351" spans="1:2">
      <c r="A351" t="s">
        <v>268</v>
      </c>
      <c r="B351" t="s">
        <v>1073</v>
      </c>
    </row>
    <row r="352" spans="1:2">
      <c r="A352" t="s">
        <v>155</v>
      </c>
      <c r="B352" t="s">
        <v>1074</v>
      </c>
    </row>
    <row r="353" spans="1:2">
      <c r="A353" t="s">
        <v>249</v>
      </c>
      <c r="B353" t="s">
        <v>1074</v>
      </c>
    </row>
    <row r="354" spans="1:2">
      <c r="A354" t="s">
        <v>248</v>
      </c>
      <c r="B354" t="s">
        <v>1074</v>
      </c>
    </row>
    <row r="355" spans="1:2">
      <c r="A355" t="s">
        <v>246</v>
      </c>
      <c r="B355" t="s">
        <v>1074</v>
      </c>
    </row>
    <row r="356" spans="1:2">
      <c r="A356" t="s">
        <v>247</v>
      </c>
      <c r="B356" t="s">
        <v>1074</v>
      </c>
    </row>
    <row r="357" spans="1:2">
      <c r="A357" t="s">
        <v>242</v>
      </c>
      <c r="B357" t="s">
        <v>1074</v>
      </c>
    </row>
    <row r="358" spans="1:2">
      <c r="A358" t="s">
        <v>245</v>
      </c>
      <c r="B358" t="s">
        <v>1074</v>
      </c>
    </row>
    <row r="359" spans="1:2">
      <c r="A359" t="s">
        <v>244</v>
      </c>
      <c r="B359" t="s">
        <v>1074</v>
      </c>
    </row>
    <row r="360" spans="1:2">
      <c r="A360" t="s">
        <v>250</v>
      </c>
      <c r="B360" t="s">
        <v>1074</v>
      </c>
    </row>
    <row r="361" spans="1:2">
      <c r="A361" t="s">
        <v>267</v>
      </c>
      <c r="B361" t="s">
        <v>1074</v>
      </c>
    </row>
    <row r="362" spans="1:2">
      <c r="A362" t="s">
        <v>152</v>
      </c>
      <c r="B362" t="s">
        <v>1074</v>
      </c>
    </row>
    <row r="363" spans="1:2">
      <c r="A363" t="s">
        <v>153</v>
      </c>
      <c r="B363" t="s">
        <v>1074</v>
      </c>
    </row>
    <row r="364" spans="1:2">
      <c r="A364" t="s">
        <v>254</v>
      </c>
      <c r="B364" t="s">
        <v>1074</v>
      </c>
    </row>
    <row r="365" spans="1:2">
      <c r="A365" t="s">
        <v>270</v>
      </c>
      <c r="B365" t="s">
        <v>1074</v>
      </c>
    </row>
    <row r="366" spans="1:2">
      <c r="A366" t="s">
        <v>151</v>
      </c>
      <c r="B366" t="s">
        <v>1074</v>
      </c>
    </row>
    <row r="367" spans="1:2">
      <c r="A367" t="s">
        <v>266</v>
      </c>
      <c r="B367" t="s">
        <v>1074</v>
      </c>
    </row>
    <row r="368" spans="1:2">
      <c r="A368" t="s">
        <v>263</v>
      </c>
      <c r="B368" t="s">
        <v>1074</v>
      </c>
    </row>
    <row r="369" spans="1:2">
      <c r="A369" t="s">
        <v>193</v>
      </c>
      <c r="B369" t="s">
        <v>1074</v>
      </c>
    </row>
    <row r="370" spans="1:2">
      <c r="A370" t="s">
        <v>150</v>
      </c>
      <c r="B370" t="s">
        <v>1074</v>
      </c>
    </row>
    <row r="371" spans="1:2">
      <c r="A371" t="s">
        <v>149</v>
      </c>
      <c r="B371" t="s">
        <v>1074</v>
      </c>
    </row>
    <row r="372" spans="1:2">
      <c r="A372" t="s">
        <v>265</v>
      </c>
      <c r="B372" t="s">
        <v>1074</v>
      </c>
    </row>
    <row r="373" spans="1:2">
      <c r="A373" t="s">
        <v>264</v>
      </c>
      <c r="B373" t="s">
        <v>1074</v>
      </c>
    </row>
    <row r="374" spans="1:2">
      <c r="A374" t="s">
        <v>262</v>
      </c>
      <c r="B374" t="s">
        <v>1074</v>
      </c>
    </row>
    <row r="375" spans="1:2">
      <c r="A375" t="s">
        <v>261</v>
      </c>
      <c r="B375" t="s">
        <v>1074</v>
      </c>
    </row>
    <row r="376" spans="1:2">
      <c r="A376" t="s">
        <v>218</v>
      </c>
      <c r="B376" t="s">
        <v>1074</v>
      </c>
    </row>
    <row r="377" spans="1:2">
      <c r="A377" t="s">
        <v>197</v>
      </c>
      <c r="B377" t="s">
        <v>1074</v>
      </c>
    </row>
    <row r="378" spans="1:2">
      <c r="A378" t="s">
        <v>214</v>
      </c>
      <c r="B378" t="s">
        <v>1074</v>
      </c>
    </row>
    <row r="379" spans="1:2">
      <c r="A379" t="s">
        <v>202</v>
      </c>
      <c r="B379" t="s">
        <v>1074</v>
      </c>
    </row>
    <row r="380" spans="1:2">
      <c r="A380" t="s">
        <v>208</v>
      </c>
      <c r="B380" t="s">
        <v>1074</v>
      </c>
    </row>
    <row r="381" spans="1:2">
      <c r="A381" t="s">
        <v>204</v>
      </c>
      <c r="B381" t="s">
        <v>1074</v>
      </c>
    </row>
    <row r="382" spans="1:2">
      <c r="A382" t="s">
        <v>221</v>
      </c>
      <c r="B382" t="s">
        <v>1074</v>
      </c>
    </row>
    <row r="383" spans="1:2">
      <c r="A383" t="s">
        <v>212</v>
      </c>
      <c r="B383" t="s">
        <v>1074</v>
      </c>
    </row>
    <row r="384" spans="1:2">
      <c r="A384" t="s">
        <v>215</v>
      </c>
      <c r="B384" t="s">
        <v>1074</v>
      </c>
    </row>
    <row r="385" spans="1:2">
      <c r="A385" t="s">
        <v>189</v>
      </c>
      <c r="B385" t="s">
        <v>1074</v>
      </c>
    </row>
    <row r="386" spans="1:2">
      <c r="A386" t="s">
        <v>196</v>
      </c>
      <c r="B386" t="s">
        <v>1074</v>
      </c>
    </row>
    <row r="387" spans="1:2">
      <c r="A387" t="s">
        <v>205</v>
      </c>
      <c r="B387" t="s">
        <v>1074</v>
      </c>
    </row>
    <row r="388" spans="1:2">
      <c r="A388" t="s">
        <v>191</v>
      </c>
      <c r="B388" t="s">
        <v>1074</v>
      </c>
    </row>
    <row r="389" spans="1:2">
      <c r="A389" t="s">
        <v>186</v>
      </c>
      <c r="B389" t="s">
        <v>1074</v>
      </c>
    </row>
    <row r="390" spans="1:2">
      <c r="A390" t="s">
        <v>194</v>
      </c>
      <c r="B390" t="s">
        <v>1074</v>
      </c>
    </row>
    <row r="391" spans="1:2">
      <c r="A391" t="s">
        <v>190</v>
      </c>
      <c r="B391" t="s">
        <v>1074</v>
      </c>
    </row>
    <row r="392" spans="1:2">
      <c r="A392" t="s">
        <v>206</v>
      </c>
      <c r="B392" t="s">
        <v>1074</v>
      </c>
    </row>
    <row r="393" spans="1:2">
      <c r="A393" t="s">
        <v>200</v>
      </c>
      <c r="B393" t="s">
        <v>1074</v>
      </c>
    </row>
    <row r="394" spans="1:2">
      <c r="A394" t="s">
        <v>203</v>
      </c>
      <c r="B394" t="s">
        <v>1074</v>
      </c>
    </row>
    <row r="395" spans="1:2">
      <c r="A395" t="s">
        <v>219</v>
      </c>
      <c r="B395" t="s">
        <v>1074</v>
      </c>
    </row>
    <row r="396" spans="1:2">
      <c r="A396" t="s">
        <v>223</v>
      </c>
      <c r="B396" t="s">
        <v>1074</v>
      </c>
    </row>
    <row r="397" spans="1:2">
      <c r="A397" t="s">
        <v>188</v>
      </c>
      <c r="B397" t="s">
        <v>1074</v>
      </c>
    </row>
    <row r="398" spans="1:2">
      <c r="A398" t="s">
        <v>198</v>
      </c>
      <c r="B398" t="s">
        <v>1074</v>
      </c>
    </row>
    <row r="399" spans="1:2">
      <c r="A399" t="s">
        <v>192</v>
      </c>
      <c r="B399" t="s">
        <v>1074</v>
      </c>
    </row>
    <row r="400" spans="1:2">
      <c r="A400" t="s">
        <v>209</v>
      </c>
      <c r="B400" t="s">
        <v>1074</v>
      </c>
    </row>
    <row r="401" spans="1:2">
      <c r="A401" t="s">
        <v>216</v>
      </c>
      <c r="B401" t="s">
        <v>1074</v>
      </c>
    </row>
    <row r="402" spans="1:2">
      <c r="A402" t="s">
        <v>213</v>
      </c>
      <c r="B402" t="s">
        <v>1074</v>
      </c>
    </row>
    <row r="403" spans="1:2">
      <c r="A403" t="s">
        <v>224</v>
      </c>
      <c r="B403" t="s">
        <v>1074</v>
      </c>
    </row>
    <row r="404" spans="1:2">
      <c r="A404" t="s">
        <v>207</v>
      </c>
      <c r="B404" t="s">
        <v>1074</v>
      </c>
    </row>
    <row r="405" spans="1:2">
      <c r="A405" t="s">
        <v>187</v>
      </c>
      <c r="B405" t="s">
        <v>1074</v>
      </c>
    </row>
    <row r="406" spans="1:2">
      <c r="A406" t="s">
        <v>199</v>
      </c>
      <c r="B406" t="s">
        <v>1074</v>
      </c>
    </row>
    <row r="407" spans="1:2">
      <c r="A407" t="s">
        <v>195</v>
      </c>
      <c r="B407" t="s">
        <v>1074</v>
      </c>
    </row>
    <row r="408" spans="1:2">
      <c r="A408" t="s">
        <v>211</v>
      </c>
      <c r="B408" t="s">
        <v>1074</v>
      </c>
    </row>
    <row r="409" spans="1:2">
      <c r="A409" t="s">
        <v>222</v>
      </c>
      <c r="B409" t="s">
        <v>1074</v>
      </c>
    </row>
    <row r="410" spans="1:2">
      <c r="A410" t="s">
        <v>217</v>
      </c>
      <c r="B410" t="s">
        <v>1074</v>
      </c>
    </row>
    <row r="411" spans="1:2">
      <c r="A411" t="s">
        <v>201</v>
      </c>
      <c r="B411" t="s">
        <v>1074</v>
      </c>
    </row>
    <row r="412" spans="1:2">
      <c r="A412" t="s">
        <v>210</v>
      </c>
      <c r="B412" t="s">
        <v>1074</v>
      </c>
    </row>
    <row r="413" spans="1:2">
      <c r="A413" t="s">
        <v>225</v>
      </c>
      <c r="B413" t="s">
        <v>1074</v>
      </c>
    </row>
    <row r="414" spans="1:2">
      <c r="A414" t="s">
        <v>220</v>
      </c>
      <c r="B414" t="s">
        <v>1074</v>
      </c>
    </row>
    <row r="415" spans="1:2">
      <c r="A415" t="s">
        <v>137</v>
      </c>
      <c r="B415" t="s">
        <v>1074</v>
      </c>
    </row>
    <row r="416" spans="1:2">
      <c r="A416" t="s">
        <v>269</v>
      </c>
      <c r="B416" t="s">
        <v>1074</v>
      </c>
    </row>
    <row r="417" spans="1:2">
      <c r="A417" t="s">
        <v>257</v>
      </c>
      <c r="B417" t="s">
        <v>1074</v>
      </c>
    </row>
    <row r="418" spans="1:2">
      <c r="A418" t="s">
        <v>258</v>
      </c>
      <c r="B418" t="s">
        <v>1074</v>
      </c>
    </row>
    <row r="419" spans="1:2">
      <c r="A419" t="s">
        <v>172</v>
      </c>
      <c r="B419" t="s">
        <v>1074</v>
      </c>
    </row>
    <row r="420" spans="1:2">
      <c r="A420" t="s">
        <v>181</v>
      </c>
      <c r="B420" t="s">
        <v>1074</v>
      </c>
    </row>
    <row r="421" spans="1:2">
      <c r="A421" t="s">
        <v>171</v>
      </c>
      <c r="B421" t="s">
        <v>1074</v>
      </c>
    </row>
    <row r="422" spans="1:2">
      <c r="A422" t="s">
        <v>180</v>
      </c>
      <c r="B422" t="s">
        <v>1074</v>
      </c>
    </row>
    <row r="423" spans="1:2">
      <c r="A423" t="s">
        <v>173</v>
      </c>
      <c r="B423" t="s">
        <v>1074</v>
      </c>
    </row>
    <row r="424" spans="1:2">
      <c r="A424" t="s">
        <v>184</v>
      </c>
      <c r="B424" t="s">
        <v>1074</v>
      </c>
    </row>
    <row r="425" spans="1:2">
      <c r="A425" t="s">
        <v>175</v>
      </c>
      <c r="B425" t="s">
        <v>1074</v>
      </c>
    </row>
    <row r="426" spans="1:2">
      <c r="A426" t="s">
        <v>177</v>
      </c>
      <c r="B426" t="s">
        <v>1074</v>
      </c>
    </row>
    <row r="427" spans="1:2">
      <c r="A427" t="s">
        <v>179</v>
      </c>
      <c r="B427" t="s">
        <v>1074</v>
      </c>
    </row>
    <row r="428" spans="1:2">
      <c r="A428" t="s">
        <v>174</v>
      </c>
      <c r="B428" t="s">
        <v>1074</v>
      </c>
    </row>
    <row r="429" spans="1:2">
      <c r="A429" t="s">
        <v>140</v>
      </c>
      <c r="B429" t="s">
        <v>1074</v>
      </c>
    </row>
    <row r="430" spans="1:2">
      <c r="A430" t="s">
        <v>183</v>
      </c>
      <c r="B430" t="s">
        <v>1074</v>
      </c>
    </row>
    <row r="431" spans="1:2">
      <c r="A431" t="s">
        <v>182</v>
      </c>
      <c r="B431" t="s">
        <v>1074</v>
      </c>
    </row>
    <row r="432" spans="1:2">
      <c r="A432" t="s">
        <v>178</v>
      </c>
      <c r="B432" t="s">
        <v>1074</v>
      </c>
    </row>
    <row r="433" spans="1:2">
      <c r="A433" t="s">
        <v>176</v>
      </c>
      <c r="B433" t="s">
        <v>1074</v>
      </c>
    </row>
    <row r="434" spans="1:2">
      <c r="A434" t="s">
        <v>232</v>
      </c>
      <c r="B434" t="s">
        <v>1074</v>
      </c>
    </row>
    <row r="435" spans="1:2">
      <c r="A435" t="s">
        <v>238</v>
      </c>
      <c r="B435" t="s">
        <v>1074</v>
      </c>
    </row>
    <row r="436" spans="1:2">
      <c r="A436" t="s">
        <v>239</v>
      </c>
      <c r="B436" t="s">
        <v>1074</v>
      </c>
    </row>
    <row r="437" spans="1:2">
      <c r="A437" t="s">
        <v>228</v>
      </c>
      <c r="B437" t="s">
        <v>1074</v>
      </c>
    </row>
    <row r="438" spans="1:2">
      <c r="A438" t="s">
        <v>229</v>
      </c>
      <c r="B438" t="s">
        <v>1074</v>
      </c>
    </row>
    <row r="439" spans="1:2">
      <c r="A439" t="s">
        <v>230</v>
      </c>
      <c r="B439" t="s">
        <v>1074</v>
      </c>
    </row>
    <row r="440" spans="1:2">
      <c r="A440" t="s">
        <v>231</v>
      </c>
      <c r="B440" t="s">
        <v>1074</v>
      </c>
    </row>
    <row r="441" spans="1:2">
      <c r="A441" t="s">
        <v>147</v>
      </c>
      <c r="B441" t="s">
        <v>1074</v>
      </c>
    </row>
    <row r="442" spans="1:2">
      <c r="A442" t="s">
        <v>139</v>
      </c>
      <c r="B442" t="s">
        <v>1074</v>
      </c>
    </row>
    <row r="443" spans="1:2">
      <c r="A443" t="s">
        <v>144</v>
      </c>
      <c r="B443" t="s">
        <v>1074</v>
      </c>
    </row>
    <row r="444" spans="1:2">
      <c r="A444" t="s">
        <v>235</v>
      </c>
      <c r="B444" t="s">
        <v>1074</v>
      </c>
    </row>
    <row r="445" spans="1:2">
      <c r="A445" t="s">
        <v>146</v>
      </c>
      <c r="B445" t="s">
        <v>1074</v>
      </c>
    </row>
    <row r="446" spans="1:2">
      <c r="A446" t="s">
        <v>236</v>
      </c>
      <c r="B446" t="s">
        <v>1074</v>
      </c>
    </row>
    <row r="447" spans="1:2">
      <c r="A447" t="s">
        <v>143</v>
      </c>
      <c r="B447" t="s">
        <v>1074</v>
      </c>
    </row>
    <row r="448" spans="1:2">
      <c r="A448" t="s">
        <v>255</v>
      </c>
      <c r="B448" t="s">
        <v>1074</v>
      </c>
    </row>
    <row r="449" spans="1:2">
      <c r="A449" t="s">
        <v>138</v>
      </c>
      <c r="B449" t="s">
        <v>1074</v>
      </c>
    </row>
    <row r="450" spans="1:2">
      <c r="A450" t="s">
        <v>1075</v>
      </c>
      <c r="B450" t="s">
        <v>1074</v>
      </c>
    </row>
    <row r="451" spans="1:2">
      <c r="A451" t="s">
        <v>256</v>
      </c>
      <c r="B451" t="s">
        <v>1074</v>
      </c>
    </row>
    <row r="452" spans="1:2">
      <c r="A452" t="s">
        <v>145</v>
      </c>
      <c r="B452" t="s">
        <v>1074</v>
      </c>
    </row>
    <row r="453" spans="1:2">
      <c r="A453" t="s">
        <v>234</v>
      </c>
      <c r="B453" t="s">
        <v>1074</v>
      </c>
    </row>
    <row r="454" spans="1:2">
      <c r="A454" t="s">
        <v>148</v>
      </c>
      <c r="B454" t="s">
        <v>1074</v>
      </c>
    </row>
    <row r="455" spans="1:2">
      <c r="A455" t="s">
        <v>157</v>
      </c>
      <c r="B455" t="s">
        <v>1074</v>
      </c>
    </row>
    <row r="456" spans="1:2">
      <c r="A456" t="s">
        <v>160</v>
      </c>
      <c r="B456" t="s">
        <v>1074</v>
      </c>
    </row>
    <row r="457" spans="1:2">
      <c r="A457" t="s">
        <v>159</v>
      </c>
      <c r="B457" t="s">
        <v>1074</v>
      </c>
    </row>
    <row r="458" spans="1:2">
      <c r="A458" t="s">
        <v>158</v>
      </c>
      <c r="B458" t="s">
        <v>1074</v>
      </c>
    </row>
    <row r="459" spans="1:2">
      <c r="A459" t="s">
        <v>253</v>
      </c>
      <c r="B459" t="s">
        <v>1074</v>
      </c>
    </row>
    <row r="460" spans="1:2">
      <c r="A460" t="s">
        <v>163</v>
      </c>
      <c r="B460" t="s">
        <v>1074</v>
      </c>
    </row>
    <row r="461" spans="1:2">
      <c r="A461" t="s">
        <v>997</v>
      </c>
      <c r="B461" t="s">
        <v>1073</v>
      </c>
    </row>
    <row r="462" spans="1:2">
      <c r="A462" t="s">
        <v>1056</v>
      </c>
      <c r="B462" t="s">
        <v>1073</v>
      </c>
    </row>
    <row r="463" spans="1:2">
      <c r="A463" t="s">
        <v>1060</v>
      </c>
      <c r="B463" t="s">
        <v>1073</v>
      </c>
    </row>
    <row r="464" spans="1:2">
      <c r="A464" t="s">
        <v>1684</v>
      </c>
      <c r="B464" t="s">
        <v>1073</v>
      </c>
    </row>
    <row r="465" spans="1:2">
      <c r="A465" t="s">
        <v>1686</v>
      </c>
      <c r="B465" t="s">
        <v>1073</v>
      </c>
    </row>
    <row r="466" spans="1:2">
      <c r="A466" t="s">
        <v>1768</v>
      </c>
      <c r="B466" t="s">
        <v>1073</v>
      </c>
    </row>
    <row r="467" spans="1:2">
      <c r="A467" t="s">
        <v>1829</v>
      </c>
      <c r="B467" t="s">
        <v>1073</v>
      </c>
    </row>
    <row r="468" spans="1:2">
      <c r="A468" t="s">
        <v>1831</v>
      </c>
      <c r="B468" t="s">
        <v>1073</v>
      </c>
    </row>
    <row r="469" spans="1:2">
      <c r="A469" t="s">
        <v>1840</v>
      </c>
      <c r="B469" t="s">
        <v>1074</v>
      </c>
    </row>
    <row r="470" spans="1:2">
      <c r="A470" t="s">
        <v>1851</v>
      </c>
      <c r="B470" t="s">
        <v>1074</v>
      </c>
    </row>
    <row r="471" spans="1:2">
      <c r="A471" t="s">
        <v>1854</v>
      </c>
      <c r="B471" t="s">
        <v>1074</v>
      </c>
    </row>
    <row r="472" spans="1:2">
      <c r="A472" t="s">
        <v>1857</v>
      </c>
      <c r="B472" t="s">
        <v>1074</v>
      </c>
    </row>
    <row r="473" spans="1:2">
      <c r="A473" t="s">
        <v>1860</v>
      </c>
      <c r="B473" t="s">
        <v>1074</v>
      </c>
    </row>
    <row r="474" spans="1:2">
      <c r="A474" t="s">
        <v>1863</v>
      </c>
      <c r="B474" t="s">
        <v>1074</v>
      </c>
    </row>
    <row r="475" spans="1:2">
      <c r="A475" t="s">
        <v>2317</v>
      </c>
      <c r="B475" t="s">
        <v>1074</v>
      </c>
    </row>
    <row r="476" spans="1:2">
      <c r="A476" t="s">
        <v>2406</v>
      </c>
      <c r="B476" t="s">
        <v>1074</v>
      </c>
    </row>
    <row r="477" spans="1:2">
      <c r="A477" t="s">
        <v>2408</v>
      </c>
      <c r="B477" t="s">
        <v>1074</v>
      </c>
    </row>
    <row r="478" spans="1:2">
      <c r="A478" t="s">
        <v>2410</v>
      </c>
      <c r="B478" t="s">
        <v>1074</v>
      </c>
    </row>
    <row r="479" spans="1:2">
      <c r="A479" t="s">
        <v>2412</v>
      </c>
      <c r="B479" t="s">
        <v>1074</v>
      </c>
    </row>
    <row r="480" spans="1:2">
      <c r="A480" t="s">
        <v>2414</v>
      </c>
      <c r="B480" t="s">
        <v>1074</v>
      </c>
    </row>
    <row r="481" spans="1:2">
      <c r="A481" t="s">
        <v>2416</v>
      </c>
      <c r="B481" t="s">
        <v>1074</v>
      </c>
    </row>
    <row r="482" spans="1:2">
      <c r="A482" t="s">
        <v>2418</v>
      </c>
      <c r="B482" t="s">
        <v>1074</v>
      </c>
    </row>
    <row r="483" spans="1:2">
      <c r="A483" t="s">
        <v>2421</v>
      </c>
      <c r="B483" t="s">
        <v>1074</v>
      </c>
    </row>
    <row r="484" spans="1:2">
      <c r="A484" t="s">
        <v>2424</v>
      </c>
      <c r="B484" t="s">
        <v>1074</v>
      </c>
    </row>
    <row r="485" spans="1:2">
      <c r="A485" t="s">
        <v>2427</v>
      </c>
      <c r="B485" t="s">
        <v>1074</v>
      </c>
    </row>
    <row r="486" spans="1:2">
      <c r="A486" t="s">
        <v>2429</v>
      </c>
      <c r="B486" t="s">
        <v>1074</v>
      </c>
    </row>
    <row r="487" spans="1:2">
      <c r="A487" t="s">
        <v>2431</v>
      </c>
      <c r="B487" t="s">
        <v>1074</v>
      </c>
    </row>
    <row r="488" spans="1:2">
      <c r="A488" t="s">
        <v>2434</v>
      </c>
      <c r="B488" t="s">
        <v>1074</v>
      </c>
    </row>
    <row r="489" spans="1:2">
      <c r="A489" t="s">
        <v>2436</v>
      </c>
      <c r="B489" t="s">
        <v>1074</v>
      </c>
    </row>
    <row r="490" spans="1:2">
      <c r="A490" t="s">
        <v>2452</v>
      </c>
      <c r="B490" t="s">
        <v>1074</v>
      </c>
    </row>
    <row r="491" spans="1:2">
      <c r="A491" t="s">
        <v>2463</v>
      </c>
      <c r="B491" t="s">
        <v>1073</v>
      </c>
    </row>
    <row r="492" spans="1:2">
      <c r="A492" t="s">
        <v>2466</v>
      </c>
      <c r="B492" t="s">
        <v>1073</v>
      </c>
    </row>
    <row r="493" spans="1:2">
      <c r="A493" t="s">
        <v>2468</v>
      </c>
      <c r="B493" t="s">
        <v>1073</v>
      </c>
    </row>
    <row r="494" spans="1:2">
      <c r="A494" t="s">
        <v>2477</v>
      </c>
      <c r="B494" t="s">
        <v>1074</v>
      </c>
    </row>
    <row r="495" spans="1:2">
      <c r="A495" t="s">
        <v>2479</v>
      </c>
      <c r="B495" t="s">
        <v>1074</v>
      </c>
    </row>
    <row r="496" spans="1:2">
      <c r="A496" t="s">
        <v>2482</v>
      </c>
      <c r="B496" t="s">
        <v>1074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EFD5-3599-4286-AC7C-C67B91A25BC5}">
  <dimension ref="A1:AW121"/>
  <sheetViews>
    <sheetView zoomScaleNormal="100" workbookViewId="0">
      <pane ySplit="6" topLeftCell="A7" activePane="bottomLeft" state="frozen"/>
      <selection pane="bottomLeft" activeCell="G9" sqref="G9"/>
    </sheetView>
  </sheetViews>
  <sheetFormatPr defaultColWidth="9.140625" defaultRowHeight="15"/>
  <cols>
    <col min="1" max="1" width="3.140625" style="16" customWidth="1"/>
    <col min="2" max="2" width="43.28515625" style="24" customWidth="1"/>
    <col min="3" max="3" width="26" style="24" bestFit="1" customWidth="1"/>
    <col min="4" max="4" width="13.85546875" style="24" customWidth="1"/>
    <col min="5" max="5" width="27.28515625" style="24" bestFit="1" customWidth="1"/>
    <col min="6" max="6" width="12.85546875" style="24" bestFit="1" customWidth="1"/>
    <col min="7" max="7" width="10.28515625" style="38" bestFit="1" customWidth="1"/>
    <col min="8" max="8" width="44.5703125" style="24" bestFit="1" customWidth="1"/>
    <col min="9" max="9" width="17.7109375" style="39" bestFit="1" customWidth="1"/>
    <col min="10" max="10" width="0" style="24" hidden="1" customWidth="1"/>
    <col min="11" max="16384" width="9.140625" style="24"/>
  </cols>
  <sheetData>
    <row r="1" spans="1:49" ht="15.75" thickBot="1"/>
    <row r="2" spans="1:49">
      <c r="B2" s="417" t="s">
        <v>2314</v>
      </c>
      <c r="C2" s="418"/>
      <c r="D2" s="418"/>
      <c r="E2" s="419"/>
    </row>
    <row r="3" spans="1:49">
      <c r="B3" s="420"/>
      <c r="C3" s="421"/>
      <c r="D3" s="421"/>
      <c r="E3" s="422"/>
    </row>
    <row r="4" spans="1:49" ht="15.75" thickBot="1">
      <c r="B4" s="423"/>
      <c r="C4" s="424"/>
      <c r="D4" s="424"/>
      <c r="E4" s="425"/>
    </row>
    <row r="6" spans="1:49" s="36" customFormat="1" ht="36">
      <c r="A6" s="5"/>
      <c r="B6" s="6" t="s">
        <v>1076</v>
      </c>
      <c r="C6" s="6" t="s">
        <v>1077</v>
      </c>
      <c r="D6" s="6" t="s">
        <v>1078</v>
      </c>
      <c r="E6" s="6" t="s">
        <v>1079</v>
      </c>
      <c r="F6" s="6" t="s">
        <v>1080</v>
      </c>
      <c r="G6" s="7" t="s">
        <v>1081</v>
      </c>
      <c r="H6" s="8" t="s">
        <v>1082</v>
      </c>
      <c r="I6" s="9" t="s">
        <v>1083</v>
      </c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s="14" customFormat="1">
      <c r="A7" s="10">
        <v>1</v>
      </c>
      <c r="B7" s="11" t="s">
        <v>1084</v>
      </c>
      <c r="C7" s="12" t="s">
        <v>1085</v>
      </c>
      <c r="D7" s="12" t="s">
        <v>1086</v>
      </c>
      <c r="E7" s="12" t="s">
        <v>1087</v>
      </c>
      <c r="F7" s="12" t="s">
        <v>1088</v>
      </c>
      <c r="G7" s="13">
        <v>37035388</v>
      </c>
      <c r="I7" s="15" t="s">
        <v>1089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</row>
    <row r="8" spans="1:49" s="14" customFormat="1">
      <c r="A8" s="16"/>
      <c r="B8" s="17" t="s">
        <v>1090</v>
      </c>
      <c r="C8" s="17" t="s">
        <v>1091</v>
      </c>
      <c r="D8" s="17" t="s">
        <v>1092</v>
      </c>
      <c r="E8" s="17" t="s">
        <v>1093</v>
      </c>
      <c r="F8" s="17" t="s">
        <v>1094</v>
      </c>
      <c r="G8" s="18">
        <v>37035388</v>
      </c>
      <c r="H8" s="17"/>
      <c r="I8" s="19" t="s">
        <v>1095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</row>
    <row r="9" spans="1:49" s="14" customFormat="1">
      <c r="A9" s="16"/>
      <c r="B9" s="17" t="s">
        <v>1096</v>
      </c>
      <c r="C9" s="17" t="s">
        <v>1097</v>
      </c>
      <c r="D9" s="17" t="s">
        <v>1098</v>
      </c>
      <c r="E9" s="17" t="s">
        <v>1099</v>
      </c>
      <c r="F9" s="17" t="s">
        <v>1100</v>
      </c>
      <c r="G9" s="18">
        <v>23028229</v>
      </c>
      <c r="H9" s="17"/>
      <c r="I9" s="19" t="s">
        <v>1095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</row>
    <row r="10" spans="1:49" s="14" customFormat="1">
      <c r="A10" s="16"/>
      <c r="B10" s="17" t="s">
        <v>1101</v>
      </c>
      <c r="C10" s="17" t="s">
        <v>1102</v>
      </c>
      <c r="D10" s="17" t="s">
        <v>1103</v>
      </c>
      <c r="E10" s="17" t="s">
        <v>1104</v>
      </c>
      <c r="F10" s="17"/>
      <c r="G10" s="18">
        <v>33233552</v>
      </c>
      <c r="H10" s="20" t="s">
        <v>1105</v>
      </c>
      <c r="I10" s="19" t="s">
        <v>1095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</row>
    <row r="11" spans="1:49" s="14" customFormat="1">
      <c r="A11" s="10">
        <v>2</v>
      </c>
      <c r="B11" s="11" t="s">
        <v>1106</v>
      </c>
      <c r="C11" s="14" t="s">
        <v>1107</v>
      </c>
      <c r="D11" s="14" t="s">
        <v>1108</v>
      </c>
      <c r="E11" s="14" t="s">
        <v>1109</v>
      </c>
      <c r="F11" s="12" t="s">
        <v>1110</v>
      </c>
      <c r="G11" s="13" t="s">
        <v>1111</v>
      </c>
      <c r="I11" s="15" t="s">
        <v>1089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</row>
    <row r="12" spans="1:49" s="14" customFormat="1">
      <c r="A12" s="10">
        <v>3</v>
      </c>
      <c r="B12" s="11" t="s">
        <v>1112</v>
      </c>
      <c r="C12" s="14" t="s">
        <v>1113</v>
      </c>
      <c r="D12" s="14" t="s">
        <v>1114</v>
      </c>
      <c r="E12" s="14" t="s">
        <v>1115</v>
      </c>
      <c r="F12" s="12" t="s">
        <v>1116</v>
      </c>
      <c r="G12" s="21" t="s">
        <v>1117</v>
      </c>
      <c r="I12" s="15" t="s">
        <v>1089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</row>
    <row r="13" spans="1:49">
      <c r="B13" s="17" t="s">
        <v>1118</v>
      </c>
      <c r="C13" s="17" t="s">
        <v>1113</v>
      </c>
      <c r="D13" s="17" t="s">
        <v>1114</v>
      </c>
      <c r="E13" s="17" t="s">
        <v>1115</v>
      </c>
      <c r="F13" s="17" t="s">
        <v>1116</v>
      </c>
      <c r="G13" s="22">
        <v>82644896</v>
      </c>
      <c r="H13" s="17"/>
      <c r="I13" s="19" t="s">
        <v>1095</v>
      </c>
    </row>
    <row r="14" spans="1:49" s="14" customFormat="1">
      <c r="A14" s="10">
        <v>4</v>
      </c>
      <c r="B14" s="11" t="s">
        <v>1119</v>
      </c>
      <c r="C14" s="14" t="s">
        <v>1120</v>
      </c>
      <c r="D14" s="14" t="s">
        <v>1121</v>
      </c>
      <c r="E14" s="14" t="s">
        <v>1122</v>
      </c>
      <c r="F14" s="12" t="s">
        <v>1123</v>
      </c>
      <c r="G14" s="21">
        <v>16079456</v>
      </c>
      <c r="H14" s="23" t="s">
        <v>1124</v>
      </c>
      <c r="I14" s="15" t="s">
        <v>1089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</row>
    <row r="15" spans="1:49">
      <c r="B15" s="17" t="s">
        <v>1119</v>
      </c>
      <c r="C15" s="17" t="s">
        <v>1125</v>
      </c>
      <c r="D15" s="24" t="s">
        <v>1126</v>
      </c>
      <c r="E15" s="24" t="s">
        <v>1127</v>
      </c>
      <c r="F15" s="17" t="s">
        <v>1123</v>
      </c>
      <c r="G15" s="22">
        <v>16079456</v>
      </c>
      <c r="H15" s="23" t="s">
        <v>1124</v>
      </c>
      <c r="I15" s="19" t="s">
        <v>1095</v>
      </c>
    </row>
    <row r="16" spans="1:49">
      <c r="B16" s="17" t="s">
        <v>1119</v>
      </c>
      <c r="C16" s="24" t="s">
        <v>1128</v>
      </c>
      <c r="D16" s="24" t="s">
        <v>1129</v>
      </c>
      <c r="E16" s="24" t="s">
        <v>1130</v>
      </c>
      <c r="F16" s="17" t="s">
        <v>1131</v>
      </c>
      <c r="G16" s="22">
        <v>16079456</v>
      </c>
      <c r="H16" s="23" t="s">
        <v>1124</v>
      </c>
      <c r="I16" s="19" t="s">
        <v>1095</v>
      </c>
    </row>
    <row r="17" spans="1:49">
      <c r="B17" s="17" t="s">
        <v>1119</v>
      </c>
      <c r="C17" s="25" t="s">
        <v>1132</v>
      </c>
      <c r="D17" s="24" t="s">
        <v>1133</v>
      </c>
      <c r="E17" s="24" t="s">
        <v>1134</v>
      </c>
      <c r="F17" s="17" t="s">
        <v>1123</v>
      </c>
      <c r="G17" s="22">
        <v>16079456</v>
      </c>
      <c r="H17" s="23" t="s">
        <v>1124</v>
      </c>
      <c r="I17" s="19" t="s">
        <v>1095</v>
      </c>
    </row>
    <row r="18" spans="1:49">
      <c r="B18" s="17" t="s">
        <v>1119</v>
      </c>
      <c r="C18" s="26" t="s">
        <v>1135</v>
      </c>
      <c r="D18" t="s">
        <v>1136</v>
      </c>
      <c r="E18" s="26" t="s">
        <v>1137</v>
      </c>
      <c r="F18" s="17" t="s">
        <v>1138</v>
      </c>
      <c r="G18" s="22">
        <v>16079456</v>
      </c>
      <c r="H18" s="23" t="s">
        <v>1124</v>
      </c>
      <c r="I18" s="19" t="s">
        <v>1095</v>
      </c>
    </row>
    <row r="19" spans="1:49">
      <c r="B19" s="17" t="s">
        <v>1119</v>
      </c>
      <c r="C19" s="17" t="s">
        <v>1139</v>
      </c>
      <c r="D19" s="17" t="s">
        <v>1140</v>
      </c>
      <c r="E19" s="17" t="s">
        <v>1141</v>
      </c>
      <c r="G19" s="22">
        <v>16079456</v>
      </c>
      <c r="H19" s="23" t="s">
        <v>1124</v>
      </c>
      <c r="I19" s="19" t="s">
        <v>1095</v>
      </c>
    </row>
    <row r="20" spans="1:49">
      <c r="B20" s="17" t="s">
        <v>1119</v>
      </c>
      <c r="C20" s="17" t="s">
        <v>1142</v>
      </c>
      <c r="D20" s="24" t="s">
        <v>1143</v>
      </c>
      <c r="E20" s="24" t="s">
        <v>1144</v>
      </c>
      <c r="F20" s="17" t="s">
        <v>1123</v>
      </c>
      <c r="G20" s="22">
        <v>16079456</v>
      </c>
      <c r="H20" s="23" t="s">
        <v>1124</v>
      </c>
      <c r="I20" s="19" t="s">
        <v>1095</v>
      </c>
    </row>
    <row r="21" spans="1:49">
      <c r="B21" s="17" t="s">
        <v>1119</v>
      </c>
      <c r="C21" s="17" t="s">
        <v>1145</v>
      </c>
      <c r="D21" s="24" t="s">
        <v>1146</v>
      </c>
      <c r="E21" s="24" t="s">
        <v>1147</v>
      </c>
      <c r="F21" s="17" t="s">
        <v>1148</v>
      </c>
      <c r="G21" s="22">
        <v>16079456</v>
      </c>
      <c r="H21" s="23" t="s">
        <v>1124</v>
      </c>
      <c r="I21" s="19" t="s">
        <v>1095</v>
      </c>
    </row>
    <row r="22" spans="1:49">
      <c r="B22" s="17" t="s">
        <v>1119</v>
      </c>
      <c r="C22" s="24" t="s">
        <v>1149</v>
      </c>
      <c r="D22" s="24" t="s">
        <v>1150</v>
      </c>
      <c r="E22" s="24" t="s">
        <v>1151</v>
      </c>
      <c r="G22" s="22">
        <v>16079456</v>
      </c>
      <c r="H22" s="23" t="s">
        <v>1124</v>
      </c>
      <c r="I22" s="19" t="s">
        <v>1095</v>
      </c>
    </row>
    <row r="23" spans="1:49" ht="25.5">
      <c r="B23" s="17" t="s">
        <v>1152</v>
      </c>
      <c r="C23" s="17" t="s">
        <v>1153</v>
      </c>
      <c r="D23" s="17" t="s">
        <v>1154</v>
      </c>
      <c r="E23" s="17" t="s">
        <v>1155</v>
      </c>
      <c r="F23" s="24" t="s">
        <v>1156</v>
      </c>
      <c r="G23" s="22">
        <v>52016471</v>
      </c>
      <c r="H23" s="20" t="s">
        <v>1157</v>
      </c>
      <c r="I23" s="27" t="s">
        <v>1095</v>
      </c>
    </row>
    <row r="24" spans="1:49">
      <c r="B24" s="17" t="s">
        <v>1158</v>
      </c>
      <c r="C24" s="17" t="s">
        <v>1153</v>
      </c>
      <c r="D24" s="17" t="s">
        <v>1154</v>
      </c>
      <c r="E24" s="17" t="s">
        <v>1155</v>
      </c>
      <c r="F24" s="24" t="s">
        <v>1156</v>
      </c>
      <c r="G24" s="22">
        <v>62025848</v>
      </c>
      <c r="I24" s="19" t="s">
        <v>1095</v>
      </c>
    </row>
    <row r="25" spans="1:49">
      <c r="B25" s="17" t="s">
        <v>1158</v>
      </c>
      <c r="C25" s="17" t="s">
        <v>1159</v>
      </c>
      <c r="D25" s="17" t="s">
        <v>1160</v>
      </c>
      <c r="E25" s="17" t="s">
        <v>1161</v>
      </c>
      <c r="F25" s="24" t="s">
        <v>1156</v>
      </c>
      <c r="G25" s="22">
        <v>62025848</v>
      </c>
      <c r="I25" s="19" t="s">
        <v>1095</v>
      </c>
    </row>
    <row r="26" spans="1:49">
      <c r="B26" s="17" t="s">
        <v>1158</v>
      </c>
      <c r="C26" s="17" t="s">
        <v>1162</v>
      </c>
      <c r="D26" s="17" t="s">
        <v>1163</v>
      </c>
      <c r="E26" s="17" t="s">
        <v>1164</v>
      </c>
      <c r="F26" s="24" t="s">
        <v>1156</v>
      </c>
      <c r="G26" s="22">
        <v>62025848</v>
      </c>
      <c r="I26" s="19" t="s">
        <v>1095</v>
      </c>
    </row>
    <row r="27" spans="1:49">
      <c r="B27" s="17" t="s">
        <v>2269</v>
      </c>
      <c r="C27" s="17" t="s">
        <v>1120</v>
      </c>
      <c r="D27" s="17" t="s">
        <v>1121</v>
      </c>
      <c r="E27" s="17" t="s">
        <v>1122</v>
      </c>
      <c r="F27" s="17" t="s">
        <v>1123</v>
      </c>
      <c r="G27" s="22">
        <v>96072180</v>
      </c>
      <c r="H27" s="20" t="s">
        <v>2270</v>
      </c>
      <c r="I27" s="19" t="s">
        <v>1095</v>
      </c>
    </row>
    <row r="28" spans="1:49" s="14" customFormat="1">
      <c r="A28" s="10">
        <v>5</v>
      </c>
      <c r="B28" s="11" t="s">
        <v>1165</v>
      </c>
      <c r="C28" s="14" t="s">
        <v>1166</v>
      </c>
      <c r="D28" s="14" t="s">
        <v>1167</v>
      </c>
      <c r="E28" s="14" t="s">
        <v>1168</v>
      </c>
      <c r="F28" s="12" t="s">
        <v>1169</v>
      </c>
      <c r="G28" s="21" t="s">
        <v>1170</v>
      </c>
      <c r="I28" s="15" t="s">
        <v>1089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 s="14" customFormat="1">
      <c r="A29" s="10">
        <v>6</v>
      </c>
      <c r="B29" s="11" t="s">
        <v>1171</v>
      </c>
      <c r="C29" s="14" t="s">
        <v>1172</v>
      </c>
      <c r="D29" s="14" t="s">
        <v>1173</v>
      </c>
      <c r="E29" s="14" t="s">
        <v>1174</v>
      </c>
      <c r="F29" s="12" t="s">
        <v>1175</v>
      </c>
      <c r="G29" s="21" t="s">
        <v>1176</v>
      </c>
      <c r="I29" s="15" t="s">
        <v>1089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</row>
    <row r="30" spans="1:49">
      <c r="B30" s="24" t="s">
        <v>1171</v>
      </c>
      <c r="C30" s="24" t="s">
        <v>1177</v>
      </c>
      <c r="D30" s="24" t="s">
        <v>1178</v>
      </c>
      <c r="E30" s="24" t="s">
        <v>1179</v>
      </c>
      <c r="F30" s="17" t="s">
        <v>1180</v>
      </c>
      <c r="G30" s="22" t="s">
        <v>1176</v>
      </c>
      <c r="I30" s="19" t="s">
        <v>1095</v>
      </c>
    </row>
    <row r="31" spans="1:49">
      <c r="B31" s="24" t="s">
        <v>1171</v>
      </c>
      <c r="C31" s="24" t="s">
        <v>1181</v>
      </c>
      <c r="D31" s="24" t="s">
        <v>1182</v>
      </c>
      <c r="E31" s="24" t="s">
        <v>1183</v>
      </c>
      <c r="F31" s="17" t="s">
        <v>1184</v>
      </c>
      <c r="G31" s="22" t="s">
        <v>1176</v>
      </c>
      <c r="I31" s="19" t="s">
        <v>1095</v>
      </c>
    </row>
    <row r="32" spans="1:49">
      <c r="B32" s="24" t="s">
        <v>1171</v>
      </c>
      <c r="C32" s="17" t="s">
        <v>1185</v>
      </c>
      <c r="D32" s="24" t="s">
        <v>1114</v>
      </c>
      <c r="E32" s="24" t="s">
        <v>1115</v>
      </c>
      <c r="F32" s="17" t="s">
        <v>1186</v>
      </c>
      <c r="G32" s="22" t="s">
        <v>1176</v>
      </c>
      <c r="I32" s="19" t="s">
        <v>1095</v>
      </c>
    </row>
    <row r="33" spans="1:49">
      <c r="B33" s="24" t="s">
        <v>1187</v>
      </c>
      <c r="C33" s="24" t="s">
        <v>1188</v>
      </c>
      <c r="D33" s="24" t="s">
        <v>1189</v>
      </c>
      <c r="E33" s="24" t="s">
        <v>1190</v>
      </c>
      <c r="F33" s="17" t="s">
        <v>1191</v>
      </c>
      <c r="G33" s="22">
        <v>33287235</v>
      </c>
      <c r="I33" s="19" t="s">
        <v>1095</v>
      </c>
    </row>
    <row r="34" spans="1:49">
      <c r="B34" s="17" t="s">
        <v>2271</v>
      </c>
      <c r="C34" s="17" t="s">
        <v>2272</v>
      </c>
      <c r="D34" s="17" t="s">
        <v>2273</v>
      </c>
      <c r="E34" s="17" t="s">
        <v>2274</v>
      </c>
      <c r="F34" s="17" t="s">
        <v>2275</v>
      </c>
      <c r="G34" s="321" t="s">
        <v>2276</v>
      </c>
      <c r="H34" s="20" t="s">
        <v>2277</v>
      </c>
      <c r="I34" s="19" t="s">
        <v>1095</v>
      </c>
    </row>
    <row r="35" spans="1:49">
      <c r="B35" s="17" t="s">
        <v>2278</v>
      </c>
      <c r="C35" s="17" t="s">
        <v>2272</v>
      </c>
      <c r="D35" s="17" t="s">
        <v>2273</v>
      </c>
      <c r="E35" s="17" t="s">
        <v>2274</v>
      </c>
      <c r="F35" s="17" t="s">
        <v>2275</v>
      </c>
      <c r="G35" s="38">
        <v>54126711</v>
      </c>
      <c r="H35" s="20" t="s">
        <v>2277</v>
      </c>
      <c r="I35" s="19" t="s">
        <v>1095</v>
      </c>
    </row>
    <row r="36" spans="1:49" s="14" customFormat="1">
      <c r="A36" s="10">
        <v>7</v>
      </c>
      <c r="B36" s="11" t="s">
        <v>1192</v>
      </c>
      <c r="C36" s="14" t="s">
        <v>1193</v>
      </c>
      <c r="D36" s="14" t="s">
        <v>1194</v>
      </c>
      <c r="E36" s="14" t="s">
        <v>1195</v>
      </c>
      <c r="F36" s="12" t="s">
        <v>1196</v>
      </c>
      <c r="G36" s="21" t="s">
        <v>1197</v>
      </c>
      <c r="I36" s="15" t="s">
        <v>1089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</row>
    <row r="37" spans="1:49">
      <c r="B37" s="24" t="s">
        <v>1192</v>
      </c>
      <c r="C37" s="24" t="s">
        <v>1198</v>
      </c>
      <c r="D37" s="24" t="s">
        <v>1199</v>
      </c>
      <c r="E37" s="24" t="s">
        <v>1200</v>
      </c>
      <c r="G37" s="22" t="s">
        <v>1197</v>
      </c>
      <c r="I37" s="19" t="s">
        <v>1095</v>
      </c>
    </row>
    <row r="38" spans="1:49">
      <c r="B38" s="24" t="s">
        <v>1192</v>
      </c>
      <c r="C38" s="17" t="s">
        <v>2279</v>
      </c>
      <c r="D38" s="17" t="s">
        <v>2280</v>
      </c>
      <c r="E38" s="24" t="s">
        <v>1202</v>
      </c>
      <c r="G38" s="22" t="s">
        <v>1197</v>
      </c>
      <c r="H38" s="20" t="s">
        <v>2281</v>
      </c>
      <c r="I38" s="19" t="s">
        <v>1095</v>
      </c>
    </row>
    <row r="39" spans="1:49">
      <c r="B39" s="24" t="s">
        <v>1192</v>
      </c>
      <c r="C39" s="24" t="s">
        <v>1203</v>
      </c>
      <c r="D39" s="24" t="s">
        <v>1204</v>
      </c>
      <c r="E39" s="24" t="s">
        <v>1205</v>
      </c>
      <c r="G39" s="22" t="s">
        <v>1197</v>
      </c>
      <c r="I39" s="19" t="s">
        <v>1095</v>
      </c>
    </row>
    <row r="40" spans="1:49">
      <c r="B40" s="24" t="s">
        <v>1192</v>
      </c>
      <c r="C40" s="24" t="s">
        <v>1206</v>
      </c>
      <c r="D40" s="24" t="s">
        <v>1207</v>
      </c>
      <c r="E40" s="24" t="s">
        <v>1208</v>
      </c>
      <c r="G40" s="22" t="s">
        <v>1197</v>
      </c>
      <c r="I40" s="19" t="s">
        <v>1095</v>
      </c>
    </row>
    <row r="41" spans="1:49">
      <c r="B41" s="24" t="s">
        <v>1192</v>
      </c>
      <c r="C41" s="24" t="s">
        <v>1209</v>
      </c>
      <c r="D41" s="24" t="s">
        <v>1210</v>
      </c>
      <c r="E41" s="24" t="s">
        <v>1127</v>
      </c>
      <c r="G41" s="22" t="s">
        <v>1197</v>
      </c>
      <c r="I41" s="19" t="s">
        <v>1095</v>
      </c>
    </row>
    <row r="42" spans="1:49">
      <c r="B42" s="17" t="s">
        <v>1192</v>
      </c>
      <c r="C42" s="17" t="s">
        <v>1211</v>
      </c>
      <c r="D42" s="17" t="s">
        <v>1212</v>
      </c>
      <c r="E42" s="28" t="s">
        <v>2282</v>
      </c>
      <c r="F42" s="28"/>
      <c r="G42" s="22">
        <v>18034290</v>
      </c>
      <c r="I42" s="19" t="s">
        <v>1095</v>
      </c>
    </row>
    <row r="43" spans="1:49">
      <c r="B43" s="24" t="s">
        <v>1192</v>
      </c>
      <c r="C43" s="24" t="s">
        <v>1213</v>
      </c>
      <c r="D43" s="24" t="s">
        <v>1214</v>
      </c>
      <c r="E43" s="24" t="s">
        <v>1215</v>
      </c>
      <c r="G43" s="22" t="s">
        <v>1197</v>
      </c>
      <c r="I43" s="19" t="s">
        <v>1095</v>
      </c>
    </row>
    <row r="44" spans="1:49">
      <c r="B44" s="24" t="s">
        <v>1192</v>
      </c>
      <c r="C44" s="24" t="s">
        <v>1216</v>
      </c>
      <c r="D44" s="24" t="s">
        <v>1217</v>
      </c>
      <c r="E44" s="24" t="s">
        <v>1218</v>
      </c>
      <c r="G44" s="22" t="s">
        <v>1197</v>
      </c>
      <c r="I44" s="19" t="s">
        <v>1095</v>
      </c>
    </row>
    <row r="45" spans="1:49">
      <c r="B45" s="24" t="s">
        <v>1192</v>
      </c>
      <c r="C45" s="24" t="s">
        <v>1219</v>
      </c>
      <c r="D45" s="24" t="s">
        <v>1220</v>
      </c>
      <c r="E45" s="24" t="s">
        <v>1221</v>
      </c>
      <c r="G45" s="22">
        <v>14042160</v>
      </c>
      <c r="H45" s="17"/>
      <c r="I45" s="19" t="s">
        <v>1095</v>
      </c>
    </row>
    <row r="46" spans="1:49">
      <c r="B46" s="17" t="s">
        <v>1192</v>
      </c>
      <c r="C46" s="24" t="s">
        <v>1222</v>
      </c>
      <c r="D46" s="24" t="s">
        <v>1223</v>
      </c>
      <c r="E46" s="24" t="s">
        <v>1115</v>
      </c>
      <c r="G46" s="22" t="s">
        <v>1197</v>
      </c>
      <c r="I46" s="19" t="s">
        <v>1095</v>
      </c>
    </row>
    <row r="47" spans="1:49">
      <c r="B47" s="17" t="s">
        <v>1192</v>
      </c>
      <c r="C47" s="24" t="s">
        <v>1224</v>
      </c>
      <c r="D47" s="24" t="s">
        <v>1225</v>
      </c>
      <c r="E47" s="24" t="s">
        <v>1226</v>
      </c>
      <c r="G47" s="22" t="s">
        <v>1197</v>
      </c>
      <c r="H47" s="20" t="s">
        <v>2283</v>
      </c>
      <c r="I47" s="19" t="s">
        <v>1095</v>
      </c>
    </row>
    <row r="48" spans="1:49">
      <c r="B48" s="17" t="s">
        <v>1192</v>
      </c>
      <c r="C48" s="17" t="s">
        <v>2284</v>
      </c>
      <c r="D48" s="17" t="s">
        <v>2285</v>
      </c>
      <c r="E48" s="17" t="s">
        <v>1151</v>
      </c>
      <c r="G48" s="22" t="s">
        <v>1197</v>
      </c>
      <c r="H48" s="20" t="s">
        <v>2286</v>
      </c>
      <c r="I48" s="19" t="s">
        <v>1095</v>
      </c>
    </row>
    <row r="49" spans="1:49" s="37" customFormat="1">
      <c r="A49" s="29"/>
      <c r="B49" s="17" t="s">
        <v>1227</v>
      </c>
      <c r="C49" s="30" t="s">
        <v>1228</v>
      </c>
      <c r="D49" s="17" t="s">
        <v>1229</v>
      </c>
      <c r="E49" s="17" t="s">
        <v>1226</v>
      </c>
      <c r="F49" s="17" t="s">
        <v>1230</v>
      </c>
      <c r="G49" s="18">
        <v>34174864</v>
      </c>
      <c r="H49" s="24"/>
      <c r="I49" s="19" t="s">
        <v>1095</v>
      </c>
    </row>
    <row r="50" spans="1:49">
      <c r="B50" s="17" t="s">
        <v>1192</v>
      </c>
      <c r="C50" s="17" t="s">
        <v>1231</v>
      </c>
      <c r="D50" s="17" t="s">
        <v>1232</v>
      </c>
      <c r="E50" s="17" t="s">
        <v>1233</v>
      </c>
      <c r="F50" s="17"/>
      <c r="G50" s="22" t="s">
        <v>1197</v>
      </c>
      <c r="I50" s="19" t="s">
        <v>1095</v>
      </c>
    </row>
    <row r="51" spans="1:49">
      <c r="B51" s="17" t="s">
        <v>1192</v>
      </c>
      <c r="C51" s="17" t="s">
        <v>1234</v>
      </c>
      <c r="D51" s="17" t="s">
        <v>1235</v>
      </c>
      <c r="E51" s="17" t="s">
        <v>1236</v>
      </c>
      <c r="F51" s="17"/>
      <c r="G51" s="22" t="s">
        <v>1197</v>
      </c>
      <c r="I51" s="19" t="s">
        <v>1095</v>
      </c>
    </row>
    <row r="52" spans="1:49">
      <c r="B52" s="17" t="s">
        <v>1192</v>
      </c>
      <c r="C52" s="17" t="s">
        <v>1237</v>
      </c>
      <c r="D52" s="17" t="s">
        <v>1238</v>
      </c>
      <c r="E52" s="17" t="s">
        <v>1239</v>
      </c>
      <c r="F52" s="17"/>
      <c r="G52" s="22" t="s">
        <v>1197</v>
      </c>
      <c r="H52" s="17"/>
      <c r="I52" s="19" t="s">
        <v>1095</v>
      </c>
    </row>
    <row r="53" spans="1:49">
      <c r="B53" s="17" t="s">
        <v>1240</v>
      </c>
      <c r="C53" s="17" t="s">
        <v>1241</v>
      </c>
      <c r="D53" s="17" t="s">
        <v>1242</v>
      </c>
      <c r="E53" s="17" t="s">
        <v>1243</v>
      </c>
      <c r="F53" s="17"/>
      <c r="G53" s="22">
        <v>18034290</v>
      </c>
      <c r="H53" s="17"/>
      <c r="I53" s="19" t="s">
        <v>1095</v>
      </c>
    </row>
    <row r="54" spans="1:49">
      <c r="B54" s="17" t="s">
        <v>1244</v>
      </c>
      <c r="C54" s="17" t="s">
        <v>1245</v>
      </c>
      <c r="D54" s="17" t="s">
        <v>1246</v>
      </c>
      <c r="E54" s="17" t="s">
        <v>1247</v>
      </c>
      <c r="F54" s="17"/>
      <c r="G54" s="22">
        <v>18034290</v>
      </c>
      <c r="I54" s="19" t="s">
        <v>1095</v>
      </c>
    </row>
    <row r="55" spans="1:49">
      <c r="B55" s="17" t="s">
        <v>1192</v>
      </c>
      <c r="C55" s="17" t="s">
        <v>1248</v>
      </c>
      <c r="D55" s="17" t="s">
        <v>1249</v>
      </c>
      <c r="E55" s="17" t="s">
        <v>1250</v>
      </c>
      <c r="F55" s="17"/>
      <c r="G55" s="22">
        <v>29022597</v>
      </c>
      <c r="I55" s="19" t="s">
        <v>1095</v>
      </c>
    </row>
    <row r="56" spans="1:49" s="37" customFormat="1">
      <c r="A56" s="29"/>
      <c r="B56" s="17" t="s">
        <v>1251</v>
      </c>
      <c r="C56" s="30" t="s">
        <v>1252</v>
      </c>
      <c r="D56" s="17" t="s">
        <v>1253</v>
      </c>
      <c r="E56" s="17" t="s">
        <v>1254</v>
      </c>
      <c r="F56" s="17"/>
      <c r="G56" s="18">
        <v>16063737</v>
      </c>
      <c r="H56" s="24"/>
      <c r="I56" s="19" t="s">
        <v>1095</v>
      </c>
    </row>
    <row r="57" spans="1:49" s="37" customFormat="1" ht="12.75">
      <c r="A57" s="29"/>
      <c r="B57" s="17" t="s">
        <v>2287</v>
      </c>
      <c r="C57" s="30" t="s">
        <v>2288</v>
      </c>
      <c r="D57" s="17" t="s">
        <v>2289</v>
      </c>
      <c r="E57" s="17" t="s">
        <v>2290</v>
      </c>
      <c r="F57" s="17"/>
      <c r="G57" s="18">
        <v>14065073</v>
      </c>
      <c r="H57" s="20" t="s">
        <v>2291</v>
      </c>
      <c r="I57" s="19" t="s">
        <v>1095</v>
      </c>
    </row>
    <row r="58" spans="1:49" ht="25.5">
      <c r="B58" s="17" t="s">
        <v>2292</v>
      </c>
      <c r="C58" s="17" t="s">
        <v>2293</v>
      </c>
      <c r="D58" s="17" t="s">
        <v>2294</v>
      </c>
      <c r="E58" s="17" t="s">
        <v>2295</v>
      </c>
      <c r="F58" s="17" t="s">
        <v>2296</v>
      </c>
      <c r="G58" s="22">
        <v>18034290</v>
      </c>
      <c r="H58" s="20" t="s">
        <v>2297</v>
      </c>
      <c r="I58" s="19" t="s">
        <v>1095</v>
      </c>
    </row>
    <row r="59" spans="1:49" s="37" customFormat="1">
      <c r="A59" s="10">
        <v>8</v>
      </c>
      <c r="B59" s="11" t="s">
        <v>1255</v>
      </c>
      <c r="C59" s="14" t="s">
        <v>1256</v>
      </c>
      <c r="D59" s="12" t="s">
        <v>1257</v>
      </c>
      <c r="E59" s="12" t="s">
        <v>1258</v>
      </c>
      <c r="F59" s="12" t="s">
        <v>1259</v>
      </c>
      <c r="G59" s="21">
        <v>17035373</v>
      </c>
      <c r="H59" s="15"/>
      <c r="I59" s="15" t="s">
        <v>1089</v>
      </c>
    </row>
    <row r="60" spans="1:49" s="14" customFormat="1">
      <c r="A60" s="10">
        <v>9</v>
      </c>
      <c r="B60" s="11" t="s">
        <v>1260</v>
      </c>
      <c r="C60" s="12" t="s">
        <v>1261</v>
      </c>
      <c r="D60" s="12" t="s">
        <v>1262</v>
      </c>
      <c r="E60" s="14" t="s">
        <v>1179</v>
      </c>
      <c r="F60" s="12" t="s">
        <v>1263</v>
      </c>
      <c r="G60" s="21" t="s">
        <v>1264</v>
      </c>
      <c r="H60" s="15"/>
      <c r="I60" s="15" t="s">
        <v>1089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</row>
    <row r="61" spans="1:49">
      <c r="B61" s="17" t="s">
        <v>2298</v>
      </c>
      <c r="C61" s="17" t="s">
        <v>2299</v>
      </c>
      <c r="D61" s="17" t="s">
        <v>1262</v>
      </c>
      <c r="E61" s="17" t="s">
        <v>1179</v>
      </c>
      <c r="G61" s="22">
        <v>95720936</v>
      </c>
      <c r="I61" s="19" t="s">
        <v>1095</v>
      </c>
    </row>
    <row r="62" spans="1:49" s="14" customFormat="1">
      <c r="A62" s="10">
        <v>10</v>
      </c>
      <c r="B62" s="11" t="s">
        <v>1265</v>
      </c>
      <c r="C62" s="14" t="s">
        <v>1266</v>
      </c>
      <c r="D62" s="14" t="s">
        <v>1267</v>
      </c>
      <c r="E62" s="14" t="s">
        <v>1268</v>
      </c>
      <c r="F62" s="12" t="s">
        <v>1269</v>
      </c>
      <c r="G62" s="21" t="s">
        <v>1270</v>
      </c>
      <c r="I62" s="15" t="s">
        <v>1089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</row>
    <row r="63" spans="1:49">
      <c r="B63" s="24" t="s">
        <v>1271</v>
      </c>
      <c r="C63" s="24" t="s">
        <v>1266</v>
      </c>
      <c r="D63" s="24" t="s">
        <v>1267</v>
      </c>
      <c r="E63" s="24" t="s">
        <v>1268</v>
      </c>
      <c r="G63" s="22" t="s">
        <v>1272</v>
      </c>
      <c r="I63" s="19" t="s">
        <v>1095</v>
      </c>
    </row>
    <row r="64" spans="1:49">
      <c r="B64" s="24" t="s">
        <v>1273</v>
      </c>
      <c r="C64" s="24" t="s">
        <v>1274</v>
      </c>
      <c r="D64" s="24" t="s">
        <v>1275</v>
      </c>
      <c r="E64" s="24" t="s">
        <v>1233</v>
      </c>
      <c r="G64" s="22" t="s">
        <v>1276</v>
      </c>
      <c r="I64" s="19" t="s">
        <v>1095</v>
      </c>
    </row>
    <row r="65" spans="1:49">
      <c r="B65" s="24" t="s">
        <v>1277</v>
      </c>
      <c r="C65" s="24" t="s">
        <v>1266</v>
      </c>
      <c r="D65" s="24" t="s">
        <v>1267</v>
      </c>
      <c r="E65" s="24" t="s">
        <v>1268</v>
      </c>
      <c r="G65" s="22" t="s">
        <v>1278</v>
      </c>
      <c r="I65" s="19" t="s">
        <v>1095</v>
      </c>
    </row>
    <row r="66" spans="1:49">
      <c r="B66" s="24" t="s">
        <v>1265</v>
      </c>
      <c r="C66" s="24" t="s">
        <v>1279</v>
      </c>
      <c r="D66" s="24" t="s">
        <v>1280</v>
      </c>
      <c r="E66" s="24" t="s">
        <v>1104</v>
      </c>
      <c r="G66" s="22" t="s">
        <v>1270</v>
      </c>
      <c r="I66" s="19" t="s">
        <v>1095</v>
      </c>
    </row>
    <row r="67" spans="1:49" ht="30">
      <c r="B67" s="24" t="s">
        <v>1265</v>
      </c>
      <c r="C67" s="24" t="s">
        <v>1281</v>
      </c>
      <c r="D67" s="24" t="s">
        <v>1282</v>
      </c>
      <c r="E67" s="24" t="s">
        <v>1283</v>
      </c>
      <c r="G67" s="22" t="s">
        <v>1270</v>
      </c>
      <c r="I67" s="19" t="s">
        <v>1095</v>
      </c>
    </row>
    <row r="68" spans="1:49" s="14" customFormat="1">
      <c r="A68" s="10">
        <v>11</v>
      </c>
      <c r="B68" s="11" t="s">
        <v>1284</v>
      </c>
      <c r="C68" s="14" t="s">
        <v>1285</v>
      </c>
      <c r="D68" s="14" t="s">
        <v>1286</v>
      </c>
      <c r="E68" s="14" t="s">
        <v>1174</v>
      </c>
      <c r="F68" s="12" t="s">
        <v>1287</v>
      </c>
      <c r="G68" s="21" t="s">
        <v>1288</v>
      </c>
      <c r="I68" s="15" t="s">
        <v>1089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</row>
    <row r="69" spans="1:49" s="14" customFormat="1">
      <c r="A69" s="16"/>
      <c r="B69" s="17" t="s">
        <v>1289</v>
      </c>
      <c r="C69" s="17" t="s">
        <v>1290</v>
      </c>
      <c r="D69" s="17" t="s">
        <v>1291</v>
      </c>
      <c r="E69" s="17" t="s">
        <v>1292</v>
      </c>
      <c r="F69" s="17"/>
      <c r="G69" s="22">
        <v>56586035</v>
      </c>
      <c r="H69" s="24"/>
      <c r="I69" s="19" t="s">
        <v>1095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</row>
    <row r="70" spans="1:49" s="14" customFormat="1">
      <c r="A70" s="16"/>
      <c r="B70" s="17" t="s">
        <v>1293</v>
      </c>
      <c r="C70" s="17" t="s">
        <v>1290</v>
      </c>
      <c r="D70" s="17" t="s">
        <v>1291</v>
      </c>
      <c r="E70" s="17" t="s">
        <v>1292</v>
      </c>
      <c r="F70" s="17"/>
      <c r="G70" s="22">
        <v>14106812</v>
      </c>
      <c r="H70" s="24"/>
      <c r="I70" s="19" t="s">
        <v>1095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</row>
    <row r="71" spans="1:49" s="14" customFormat="1">
      <c r="A71" s="16"/>
      <c r="B71" s="17" t="s">
        <v>1294</v>
      </c>
      <c r="C71" s="17" t="s">
        <v>1290</v>
      </c>
      <c r="D71" s="17" t="s">
        <v>1291</v>
      </c>
      <c r="E71" s="17" t="s">
        <v>1292</v>
      </c>
      <c r="F71" s="17"/>
      <c r="G71" s="22">
        <v>14069359</v>
      </c>
      <c r="H71" s="24"/>
      <c r="I71" s="19" t="s">
        <v>1095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</row>
    <row r="72" spans="1:49" s="14" customFormat="1">
      <c r="A72" s="16"/>
      <c r="B72" s="17" t="s">
        <v>1295</v>
      </c>
      <c r="C72" s="17" t="s">
        <v>1290</v>
      </c>
      <c r="D72" s="17" t="s">
        <v>1291</v>
      </c>
      <c r="E72" s="17" t="s">
        <v>1292</v>
      </c>
      <c r="F72" s="17"/>
      <c r="G72" s="22">
        <v>56586388</v>
      </c>
      <c r="H72" s="24"/>
      <c r="I72" s="19" t="s">
        <v>1095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</row>
    <row r="73" spans="1:49" s="14" customFormat="1">
      <c r="A73" s="10">
        <v>12</v>
      </c>
      <c r="B73" s="11" t="s">
        <v>1296</v>
      </c>
      <c r="C73" s="14" t="s">
        <v>1297</v>
      </c>
      <c r="D73" s="14" t="s">
        <v>1298</v>
      </c>
      <c r="E73" s="14" t="s">
        <v>1299</v>
      </c>
      <c r="F73" s="12" t="s">
        <v>1300</v>
      </c>
      <c r="G73" s="13" t="s">
        <v>1301</v>
      </c>
      <c r="I73" s="15" t="s">
        <v>1089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</row>
    <row r="74" spans="1:49" s="14" customFormat="1">
      <c r="A74" s="10">
        <v>13</v>
      </c>
      <c r="B74" s="11" t="s">
        <v>1302</v>
      </c>
      <c r="C74" s="14" t="s">
        <v>1303</v>
      </c>
      <c r="D74" s="14" t="s">
        <v>1304</v>
      </c>
      <c r="E74" s="14" t="s">
        <v>1183</v>
      </c>
      <c r="F74" s="12" t="s">
        <v>1305</v>
      </c>
      <c r="G74" s="21" t="s">
        <v>1306</v>
      </c>
      <c r="I74" s="15" t="s">
        <v>1089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</row>
    <row r="75" spans="1:49">
      <c r="B75" s="24" t="s">
        <v>1307</v>
      </c>
      <c r="C75" s="17" t="s">
        <v>1308</v>
      </c>
      <c r="D75" s="17" t="s">
        <v>1309</v>
      </c>
      <c r="E75" s="24" t="s">
        <v>1310</v>
      </c>
      <c r="G75" s="22" t="s">
        <v>1311</v>
      </c>
      <c r="H75" s="17"/>
      <c r="I75" s="19" t="s">
        <v>1095</v>
      </c>
    </row>
    <row r="76" spans="1:49">
      <c r="B76" s="24" t="s">
        <v>1312</v>
      </c>
      <c r="C76" s="31" t="s">
        <v>1313</v>
      </c>
      <c r="D76" s="24" t="s">
        <v>1314</v>
      </c>
      <c r="E76" s="24" t="s">
        <v>1315</v>
      </c>
      <c r="G76" s="22" t="s">
        <v>1316</v>
      </c>
      <c r="I76" s="19" t="s">
        <v>1095</v>
      </c>
    </row>
    <row r="77" spans="1:49">
      <c r="B77" s="24" t="s">
        <v>1317</v>
      </c>
      <c r="C77" s="24" t="s">
        <v>1303</v>
      </c>
      <c r="D77" s="24" t="s">
        <v>1304</v>
      </c>
      <c r="E77" s="24" t="s">
        <v>1183</v>
      </c>
      <c r="G77" s="22" t="s">
        <v>1318</v>
      </c>
      <c r="I77" s="19" t="s">
        <v>1095</v>
      </c>
    </row>
    <row r="78" spans="1:49">
      <c r="B78" s="24" t="s">
        <v>1319</v>
      </c>
      <c r="C78" s="17" t="s">
        <v>1320</v>
      </c>
      <c r="D78" s="24" t="s">
        <v>1321</v>
      </c>
      <c r="E78" s="24" t="s">
        <v>1215</v>
      </c>
      <c r="G78" s="22">
        <v>65048628</v>
      </c>
      <c r="I78" s="19" t="s">
        <v>1095</v>
      </c>
    </row>
    <row r="79" spans="1:49" s="14" customFormat="1">
      <c r="A79" s="10">
        <v>14</v>
      </c>
      <c r="B79" s="11" t="s">
        <v>1322</v>
      </c>
      <c r="C79" s="14" t="s">
        <v>1323</v>
      </c>
      <c r="D79" s="14" t="s">
        <v>1324</v>
      </c>
      <c r="E79" s="14" t="s">
        <v>1325</v>
      </c>
      <c r="F79" s="12" t="s">
        <v>1326</v>
      </c>
      <c r="G79" s="21" t="s">
        <v>1327</v>
      </c>
      <c r="I79" s="15" t="s">
        <v>1089</v>
      </c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</row>
    <row r="80" spans="1:49">
      <c r="B80" s="24" t="s">
        <v>1328</v>
      </c>
      <c r="C80" s="24" t="s">
        <v>1323</v>
      </c>
      <c r="D80" s="24" t="s">
        <v>1324</v>
      </c>
      <c r="E80" s="24" t="s">
        <v>1325</v>
      </c>
      <c r="G80" s="22" t="s">
        <v>1329</v>
      </c>
      <c r="I80" s="19" t="s">
        <v>1095</v>
      </c>
    </row>
    <row r="81" spans="1:49">
      <c r="B81" s="17" t="s">
        <v>1330</v>
      </c>
      <c r="C81" s="24" t="s">
        <v>1323</v>
      </c>
      <c r="D81" s="24" t="s">
        <v>1324</v>
      </c>
      <c r="E81" s="24" t="s">
        <v>1325</v>
      </c>
      <c r="G81" s="22" t="s">
        <v>1331</v>
      </c>
      <c r="H81" s="17"/>
      <c r="I81" s="19" t="s">
        <v>1095</v>
      </c>
    </row>
    <row r="82" spans="1:49">
      <c r="B82" s="24" t="s">
        <v>1332</v>
      </c>
      <c r="C82" s="24" t="s">
        <v>1333</v>
      </c>
      <c r="D82" s="24" t="s">
        <v>1334</v>
      </c>
      <c r="E82" s="24" t="s">
        <v>1335</v>
      </c>
      <c r="G82" s="22" t="s">
        <v>1336</v>
      </c>
      <c r="I82" s="19" t="s">
        <v>1095</v>
      </c>
    </row>
    <row r="83" spans="1:49">
      <c r="B83" s="24" t="s">
        <v>1337</v>
      </c>
      <c r="C83" s="17" t="s">
        <v>1338</v>
      </c>
      <c r="D83" s="24" t="s">
        <v>1339</v>
      </c>
      <c r="E83" s="24" t="s">
        <v>1104</v>
      </c>
      <c r="G83" s="22" t="s">
        <v>1340</v>
      </c>
      <c r="I83" s="19" t="s">
        <v>1095</v>
      </c>
    </row>
    <row r="84" spans="1:49">
      <c r="B84" s="17" t="s">
        <v>1341</v>
      </c>
      <c r="C84" s="17" t="s">
        <v>1323</v>
      </c>
      <c r="D84" s="17" t="s">
        <v>1324</v>
      </c>
      <c r="E84" s="17" t="s">
        <v>1325</v>
      </c>
      <c r="F84" s="17"/>
      <c r="G84" s="22">
        <v>80639011</v>
      </c>
      <c r="I84" s="19" t="s">
        <v>1095</v>
      </c>
    </row>
    <row r="85" spans="1:49" s="14" customFormat="1" ht="16.5" customHeight="1">
      <c r="A85" s="10">
        <v>15</v>
      </c>
      <c r="B85" s="11" t="s">
        <v>1342</v>
      </c>
      <c r="C85" s="14" t="s">
        <v>1343</v>
      </c>
      <c r="D85" s="14" t="s">
        <v>1344</v>
      </c>
      <c r="E85" s="14" t="s">
        <v>1345</v>
      </c>
      <c r="F85" s="12" t="s">
        <v>1346</v>
      </c>
      <c r="G85" s="21" t="s">
        <v>1347</v>
      </c>
      <c r="I85" s="15" t="s">
        <v>1089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</row>
    <row r="86" spans="1:49" s="17" customFormat="1">
      <c r="A86" s="32"/>
      <c r="B86" s="17" t="s">
        <v>1348</v>
      </c>
      <c r="C86" s="17" t="s">
        <v>1343</v>
      </c>
      <c r="D86" s="17" t="s">
        <v>1344</v>
      </c>
      <c r="E86" s="17" t="s">
        <v>1345</v>
      </c>
      <c r="G86" s="18">
        <v>85609404</v>
      </c>
      <c r="H86" s="24"/>
      <c r="I86" s="19" t="s">
        <v>1095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</row>
    <row r="87" spans="1:49" s="17" customFormat="1">
      <c r="A87" s="32"/>
      <c r="B87" s="17" t="s">
        <v>1349</v>
      </c>
      <c r="C87" s="17" t="s">
        <v>1350</v>
      </c>
      <c r="D87" s="17" t="s">
        <v>1351</v>
      </c>
      <c r="E87" s="17" t="s">
        <v>1345</v>
      </c>
      <c r="G87" s="18">
        <v>71864008</v>
      </c>
      <c r="H87" s="24"/>
      <c r="I87" s="19" t="s">
        <v>1095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</row>
    <row r="88" spans="1:49" s="14" customFormat="1">
      <c r="A88" s="10">
        <v>16</v>
      </c>
      <c r="B88" s="11" t="s">
        <v>1352</v>
      </c>
      <c r="C88" s="14" t="s">
        <v>1353</v>
      </c>
      <c r="D88" s="14" t="s">
        <v>1354</v>
      </c>
      <c r="E88" s="33" t="s">
        <v>1355</v>
      </c>
      <c r="F88" s="34" t="s">
        <v>1356</v>
      </c>
      <c r="G88" s="21" t="s">
        <v>1357</v>
      </c>
      <c r="I88" s="15" t="s">
        <v>1089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</row>
    <row r="89" spans="1:49">
      <c r="B89" s="24" t="s">
        <v>1358</v>
      </c>
      <c r="C89" s="24" t="s">
        <v>1359</v>
      </c>
      <c r="D89" s="24" t="s">
        <v>1360</v>
      </c>
      <c r="E89" s="24" t="s">
        <v>1361</v>
      </c>
      <c r="G89" s="22" t="s">
        <v>1362</v>
      </c>
      <c r="I89" s="19" t="s">
        <v>1095</v>
      </c>
    </row>
    <row r="90" spans="1:49">
      <c r="A90" s="10">
        <v>17</v>
      </c>
      <c r="B90" s="11" t="s">
        <v>2300</v>
      </c>
      <c r="C90" s="12" t="s">
        <v>2301</v>
      </c>
      <c r="D90" s="12" t="s">
        <v>2302</v>
      </c>
      <c r="E90" s="34" t="s">
        <v>2303</v>
      </c>
      <c r="F90" s="34" t="s">
        <v>2304</v>
      </c>
      <c r="G90" s="21">
        <v>36006695</v>
      </c>
      <c r="H90" s="20" t="s">
        <v>2305</v>
      </c>
      <c r="I90" s="15" t="s">
        <v>1089</v>
      </c>
    </row>
    <row r="91" spans="1:49">
      <c r="B91" s="24" t="s">
        <v>2306</v>
      </c>
      <c r="C91" s="17" t="s">
        <v>2307</v>
      </c>
      <c r="D91" s="17" t="s">
        <v>2308</v>
      </c>
      <c r="E91" s="17" t="s">
        <v>2309</v>
      </c>
      <c r="G91" s="22">
        <v>36006695</v>
      </c>
      <c r="H91" s="20" t="s">
        <v>2305</v>
      </c>
      <c r="I91" s="19" t="s">
        <v>1095</v>
      </c>
    </row>
    <row r="92" spans="1:49">
      <c r="B92" s="17" t="s">
        <v>2310</v>
      </c>
      <c r="C92" s="17" t="s">
        <v>2311</v>
      </c>
      <c r="D92" s="17" t="s">
        <v>2312</v>
      </c>
      <c r="E92" s="17" t="s">
        <v>2313</v>
      </c>
      <c r="G92" s="22">
        <v>23062207</v>
      </c>
      <c r="H92" s="20" t="s">
        <v>2305</v>
      </c>
      <c r="I92" s="19"/>
    </row>
    <row r="93" spans="1:49" s="14" customFormat="1">
      <c r="A93" s="10">
        <v>18</v>
      </c>
      <c r="B93" s="11" t="s">
        <v>1363</v>
      </c>
      <c r="C93" s="14" t="s">
        <v>1364</v>
      </c>
      <c r="D93" s="14" t="s">
        <v>1365</v>
      </c>
      <c r="E93" s="14" t="s">
        <v>1104</v>
      </c>
      <c r="F93" s="12" t="s">
        <v>1366</v>
      </c>
      <c r="G93" s="21" t="s">
        <v>1367</v>
      </c>
      <c r="I93" s="15" t="s">
        <v>1089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</row>
    <row r="94" spans="1:49" s="14" customFormat="1">
      <c r="A94" s="10">
        <v>19</v>
      </c>
      <c r="B94" s="11" t="s">
        <v>1368</v>
      </c>
      <c r="C94" s="14" t="s">
        <v>1369</v>
      </c>
      <c r="D94" s="14" t="s">
        <v>1370</v>
      </c>
      <c r="E94" s="14" t="s">
        <v>1371</v>
      </c>
      <c r="F94" s="12" t="s">
        <v>1372</v>
      </c>
      <c r="G94" s="21" t="s">
        <v>1373</v>
      </c>
      <c r="I94" s="15" t="s">
        <v>1089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</row>
    <row r="95" spans="1:49" s="14" customFormat="1">
      <c r="A95" s="16"/>
      <c r="B95" s="17" t="s">
        <v>1374</v>
      </c>
      <c r="C95" s="24" t="s">
        <v>1375</v>
      </c>
      <c r="D95" s="17" t="s">
        <v>1376</v>
      </c>
      <c r="E95" s="17" t="s">
        <v>1201</v>
      </c>
      <c r="F95" s="17" t="s">
        <v>1377</v>
      </c>
      <c r="G95" s="22">
        <v>62148559</v>
      </c>
      <c r="H95" s="17"/>
      <c r="I95" s="19" t="s">
        <v>1095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</row>
    <row r="96" spans="1:49" s="14" customFormat="1">
      <c r="A96" s="10">
        <v>20</v>
      </c>
      <c r="B96" s="11" t="s">
        <v>1378</v>
      </c>
      <c r="C96" s="14" t="s">
        <v>1379</v>
      </c>
      <c r="D96" s="14" t="s">
        <v>1380</v>
      </c>
      <c r="E96" s="14" t="s">
        <v>1381</v>
      </c>
      <c r="G96" s="21" t="s">
        <v>1382</v>
      </c>
      <c r="I96" s="15" t="s">
        <v>1089</v>
      </c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</row>
    <row r="97" spans="1:49">
      <c r="B97" s="24" t="s">
        <v>1383</v>
      </c>
      <c r="C97" s="24" t="s">
        <v>1379</v>
      </c>
      <c r="D97" s="24" t="s">
        <v>1380</v>
      </c>
      <c r="E97" s="24" t="s">
        <v>1381</v>
      </c>
      <c r="G97" s="22" t="s">
        <v>1384</v>
      </c>
      <c r="I97" s="19" t="s">
        <v>1095</v>
      </c>
    </row>
    <row r="98" spans="1:49">
      <c r="B98" s="24" t="s">
        <v>1385</v>
      </c>
      <c r="C98" s="24" t="s">
        <v>1386</v>
      </c>
      <c r="D98" s="24" t="s">
        <v>1380</v>
      </c>
      <c r="E98" s="24" t="s">
        <v>1381</v>
      </c>
      <c r="G98" s="22" t="s">
        <v>1387</v>
      </c>
      <c r="I98" s="19" t="s">
        <v>1095</v>
      </c>
    </row>
    <row r="99" spans="1:49">
      <c r="B99" s="24" t="s">
        <v>1388</v>
      </c>
      <c r="C99" s="24" t="s">
        <v>1386</v>
      </c>
      <c r="D99" s="24" t="s">
        <v>1380</v>
      </c>
      <c r="E99" s="24" t="s">
        <v>1381</v>
      </c>
      <c r="G99" s="22" t="s">
        <v>1389</v>
      </c>
      <c r="I99" s="19" t="s">
        <v>1095</v>
      </c>
    </row>
    <row r="100" spans="1:49">
      <c r="B100" s="24" t="s">
        <v>1390</v>
      </c>
      <c r="C100" s="17" t="s">
        <v>1391</v>
      </c>
      <c r="D100" s="24" t="s">
        <v>1392</v>
      </c>
      <c r="E100" s="24" t="s">
        <v>1168</v>
      </c>
      <c r="G100" s="22" t="s">
        <v>1393</v>
      </c>
      <c r="I100" s="19" t="s">
        <v>1095</v>
      </c>
    </row>
    <row r="101" spans="1:49">
      <c r="B101" s="24" t="s">
        <v>1394</v>
      </c>
      <c r="C101" s="24" t="s">
        <v>1386</v>
      </c>
      <c r="D101" s="24" t="s">
        <v>1380</v>
      </c>
      <c r="E101" s="24" t="s">
        <v>1395</v>
      </c>
      <c r="G101" s="22" t="s">
        <v>1396</v>
      </c>
      <c r="I101" s="19" t="s">
        <v>1095</v>
      </c>
    </row>
    <row r="102" spans="1:49">
      <c r="B102" s="24" t="s">
        <v>1397</v>
      </c>
      <c r="C102" s="17" t="s">
        <v>1398</v>
      </c>
      <c r="D102" s="17" t="s">
        <v>1399</v>
      </c>
      <c r="E102" s="24" t="s">
        <v>1395</v>
      </c>
      <c r="G102" s="22" t="s">
        <v>1400</v>
      </c>
      <c r="H102" s="17"/>
      <c r="I102" s="19" t="s">
        <v>1095</v>
      </c>
    </row>
    <row r="103" spans="1:49">
      <c r="B103" s="24" t="s">
        <v>1401</v>
      </c>
      <c r="C103" s="24" t="s">
        <v>1398</v>
      </c>
      <c r="D103" s="17" t="s">
        <v>1399</v>
      </c>
      <c r="E103" s="24" t="s">
        <v>1395</v>
      </c>
      <c r="G103" s="22" t="s">
        <v>1402</v>
      </c>
      <c r="H103" s="17"/>
      <c r="I103" s="19" t="s">
        <v>1095</v>
      </c>
    </row>
    <row r="104" spans="1:49">
      <c r="B104" s="24" t="s">
        <v>1403</v>
      </c>
      <c r="C104" s="24" t="s">
        <v>1404</v>
      </c>
      <c r="D104" s="24" t="s">
        <v>1405</v>
      </c>
      <c r="E104" s="24" t="s">
        <v>1406</v>
      </c>
      <c r="G104" s="22" t="s">
        <v>1407</v>
      </c>
      <c r="I104" s="19" t="s">
        <v>1095</v>
      </c>
    </row>
    <row r="105" spans="1:49">
      <c r="B105" s="24" t="s">
        <v>1408</v>
      </c>
      <c r="C105" s="24" t="s">
        <v>1409</v>
      </c>
      <c r="D105" s="24" t="s">
        <v>1410</v>
      </c>
      <c r="E105" s="24" t="s">
        <v>1395</v>
      </c>
      <c r="G105" s="22" t="s">
        <v>1411</v>
      </c>
      <c r="I105" s="19" t="s">
        <v>1095</v>
      </c>
    </row>
    <row r="106" spans="1:49">
      <c r="B106" s="24" t="s">
        <v>1412</v>
      </c>
      <c r="C106" s="24" t="s">
        <v>1398</v>
      </c>
      <c r="D106" s="24" t="s">
        <v>1399</v>
      </c>
      <c r="E106" s="24" t="s">
        <v>1395</v>
      </c>
      <c r="G106" s="22" t="s">
        <v>1413</v>
      </c>
      <c r="H106" s="17"/>
      <c r="I106" s="19" t="s">
        <v>1095</v>
      </c>
    </row>
    <row r="107" spans="1:49">
      <c r="B107" s="24" t="s">
        <v>1414</v>
      </c>
      <c r="C107" s="24" t="s">
        <v>1415</v>
      </c>
      <c r="D107" s="24" t="s">
        <v>1416</v>
      </c>
      <c r="E107" s="24" t="s">
        <v>1325</v>
      </c>
      <c r="G107" s="22" t="s">
        <v>1417</v>
      </c>
      <c r="I107" s="19" t="s">
        <v>1095</v>
      </c>
    </row>
    <row r="108" spans="1:49">
      <c r="B108" s="17" t="s">
        <v>1414</v>
      </c>
      <c r="C108" s="17" t="s">
        <v>1418</v>
      </c>
      <c r="D108" s="17" t="s">
        <v>1419</v>
      </c>
      <c r="E108" s="17" t="s">
        <v>1420</v>
      </c>
      <c r="F108" s="17"/>
      <c r="G108" s="22">
        <v>17074021</v>
      </c>
      <c r="I108" s="19" t="s">
        <v>1095</v>
      </c>
    </row>
    <row r="109" spans="1:49" s="14" customFormat="1" ht="25.5">
      <c r="A109" s="16"/>
      <c r="B109" s="17" t="s">
        <v>1421</v>
      </c>
      <c r="C109" s="17" t="s">
        <v>1422</v>
      </c>
      <c r="D109" s="17" t="s">
        <v>1423</v>
      </c>
      <c r="E109" s="17" t="s">
        <v>1424</v>
      </c>
      <c r="F109" s="17"/>
      <c r="G109" s="18">
        <v>23034233</v>
      </c>
      <c r="H109" s="17"/>
      <c r="I109" s="19" t="s">
        <v>1095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</row>
    <row r="110" spans="1:49" s="14" customFormat="1">
      <c r="A110" s="16"/>
      <c r="B110" s="17" t="s">
        <v>1425</v>
      </c>
      <c r="C110" s="17" t="s">
        <v>1391</v>
      </c>
      <c r="D110" s="17" t="s">
        <v>1426</v>
      </c>
      <c r="E110" s="17" t="s">
        <v>1168</v>
      </c>
      <c r="F110" s="17"/>
      <c r="G110" s="18">
        <v>89748425</v>
      </c>
      <c r="H110" s="17"/>
      <c r="I110" s="19" t="s">
        <v>1095</v>
      </c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</row>
    <row r="111" spans="1:49" s="14" customFormat="1">
      <c r="A111" s="16"/>
      <c r="B111" s="17" t="s">
        <v>1427</v>
      </c>
      <c r="C111" s="17" t="s">
        <v>1422</v>
      </c>
      <c r="D111" s="17" t="s">
        <v>1423</v>
      </c>
      <c r="E111" s="17" t="s">
        <v>1424</v>
      </c>
      <c r="F111" s="17"/>
      <c r="G111" s="18">
        <v>90693280</v>
      </c>
      <c r="H111" s="17"/>
      <c r="I111" s="19" t="s">
        <v>1095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</row>
    <row r="112" spans="1:49" s="14" customFormat="1">
      <c r="A112" s="16"/>
      <c r="B112" s="17" t="s">
        <v>1428</v>
      </c>
      <c r="C112" s="17" t="s">
        <v>1422</v>
      </c>
      <c r="D112" s="17" t="s">
        <v>1423</v>
      </c>
      <c r="E112" s="17" t="s">
        <v>1424</v>
      </c>
      <c r="F112" s="17"/>
      <c r="G112" s="18">
        <v>90693248</v>
      </c>
      <c r="H112" s="17"/>
      <c r="I112" s="19" t="s">
        <v>1095</v>
      </c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</row>
    <row r="113" spans="1:49" s="14" customFormat="1">
      <c r="A113" s="16"/>
      <c r="B113" s="17" t="s">
        <v>1429</v>
      </c>
      <c r="C113" s="17" t="s">
        <v>1430</v>
      </c>
      <c r="D113" s="17" t="s">
        <v>1431</v>
      </c>
      <c r="E113" s="17" t="s">
        <v>1432</v>
      </c>
      <c r="F113" s="17"/>
      <c r="G113" s="18">
        <v>11058909</v>
      </c>
      <c r="H113" s="17"/>
      <c r="I113" s="19" t="s">
        <v>1095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</row>
    <row r="114" spans="1:49" s="14" customFormat="1">
      <c r="A114" s="10">
        <v>21</v>
      </c>
      <c r="B114" s="11" t="s">
        <v>1433</v>
      </c>
      <c r="C114" s="14" t="s">
        <v>1434</v>
      </c>
      <c r="D114" s="14" t="s">
        <v>1435</v>
      </c>
      <c r="E114" s="14" t="s">
        <v>1436</v>
      </c>
      <c r="F114" s="12" t="s">
        <v>1437</v>
      </c>
      <c r="G114" s="21" t="s">
        <v>1438</v>
      </c>
      <c r="I114" s="15" t="s">
        <v>1089</v>
      </c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</row>
    <row r="115" spans="1:49" s="14" customFormat="1">
      <c r="A115" s="10">
        <v>22</v>
      </c>
      <c r="B115" s="11" t="s">
        <v>1439</v>
      </c>
      <c r="C115" s="14" t="s">
        <v>1440</v>
      </c>
      <c r="D115" s="14" t="s">
        <v>1441</v>
      </c>
      <c r="E115" s="14" t="s">
        <v>1442</v>
      </c>
      <c r="F115" s="12" t="s">
        <v>1443</v>
      </c>
      <c r="G115" s="21" t="s">
        <v>1444</v>
      </c>
      <c r="I115" s="15" t="s">
        <v>1089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</row>
    <row r="116" spans="1:49">
      <c r="A116" s="10">
        <v>23</v>
      </c>
      <c r="B116" s="11" t="s">
        <v>1445</v>
      </c>
      <c r="C116" s="14" t="s">
        <v>1446</v>
      </c>
      <c r="D116" s="14" t="s">
        <v>1447</v>
      </c>
      <c r="E116" s="14" t="s">
        <v>1448</v>
      </c>
      <c r="F116" s="12" t="s">
        <v>1449</v>
      </c>
      <c r="G116" s="21" t="s">
        <v>1450</v>
      </c>
      <c r="H116" s="14"/>
      <c r="I116" s="15" t="s">
        <v>1089</v>
      </c>
    </row>
    <row r="117" spans="1:49">
      <c r="B117" s="24" t="s">
        <v>1451</v>
      </c>
      <c r="C117" s="24" t="s">
        <v>1446</v>
      </c>
      <c r="D117" s="24" t="s">
        <v>1447</v>
      </c>
      <c r="E117" s="24" t="s">
        <v>1448</v>
      </c>
      <c r="G117" s="22" t="s">
        <v>1452</v>
      </c>
      <c r="I117" s="19" t="s">
        <v>1095</v>
      </c>
    </row>
    <row r="118" spans="1:49">
      <c r="B118" s="24" t="s">
        <v>1453</v>
      </c>
      <c r="C118" s="24" t="s">
        <v>1454</v>
      </c>
      <c r="D118" s="24" t="s">
        <v>1455</v>
      </c>
      <c r="E118" s="24" t="s">
        <v>1456</v>
      </c>
      <c r="G118" s="22" t="s">
        <v>1457</v>
      </c>
      <c r="I118" s="19" t="s">
        <v>1095</v>
      </c>
    </row>
    <row r="119" spans="1:49">
      <c r="B119" s="24" t="s">
        <v>1458</v>
      </c>
      <c r="C119" s="24" t="s">
        <v>1446</v>
      </c>
      <c r="D119" s="24" t="s">
        <v>1447</v>
      </c>
      <c r="E119" s="24" t="s">
        <v>1448</v>
      </c>
      <c r="G119" s="22" t="s">
        <v>1459</v>
      </c>
      <c r="I119" s="19" t="s">
        <v>1095</v>
      </c>
    </row>
    <row r="120" spans="1:49" ht="14.25" customHeight="1">
      <c r="B120" s="24" t="s">
        <v>1460</v>
      </c>
      <c r="C120" s="24" t="s">
        <v>1461</v>
      </c>
      <c r="D120" s="24" t="s">
        <v>1462</v>
      </c>
      <c r="E120" s="24" t="s">
        <v>1463</v>
      </c>
      <c r="G120" s="22" t="s">
        <v>1464</v>
      </c>
      <c r="I120" s="19" t="s">
        <v>1095</v>
      </c>
    </row>
    <row r="121" spans="1:49">
      <c r="I121" s="19"/>
    </row>
  </sheetData>
  <sheetProtection sheet="1" objects="1" scenarios="1"/>
  <mergeCells count="1">
    <mergeCell ref="B2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32C3-6F63-4D73-814D-9E06CD8A05CB}">
  <dimension ref="A1:O88"/>
  <sheetViews>
    <sheetView zoomScaleNormal="100" workbookViewId="0">
      <pane ySplit="5" topLeftCell="A6" activePane="bottomLeft" state="frozen"/>
      <selection activeCell="B1" sqref="B1"/>
      <selection pane="bottomLeft" activeCell="C64" sqref="C64"/>
    </sheetView>
  </sheetViews>
  <sheetFormatPr defaultRowHeight="15"/>
  <cols>
    <col min="1" max="1" width="29.5703125" customWidth="1"/>
    <col min="2" max="2" width="49.85546875" customWidth="1"/>
    <col min="3" max="3" width="53.7109375" bestFit="1" customWidth="1"/>
    <col min="4" max="4" width="12.5703125" bestFit="1" customWidth="1"/>
    <col min="7" max="7" width="11.7109375" bestFit="1" customWidth="1"/>
    <col min="12" max="12" width="11.7109375" bestFit="1" customWidth="1"/>
  </cols>
  <sheetData>
    <row r="1" spans="1:15" ht="15.75" thickBot="1">
      <c r="A1" s="43"/>
      <c r="B1" s="43"/>
      <c r="C1" s="43"/>
      <c r="D1" s="43"/>
      <c r="E1" s="426"/>
      <c r="F1" s="426"/>
      <c r="G1" s="43"/>
      <c r="H1" s="430"/>
      <c r="I1" s="430"/>
      <c r="J1" s="43"/>
    </row>
    <row r="2" spans="1:15">
      <c r="A2" s="44" t="s">
        <v>1465</v>
      </c>
      <c r="B2" s="45"/>
      <c r="C2" s="45"/>
      <c r="D2" s="46"/>
      <c r="E2" s="43"/>
      <c r="F2" s="44"/>
      <c r="G2" s="61">
        <v>45798</v>
      </c>
      <c r="H2" s="427"/>
      <c r="I2" s="429"/>
      <c r="J2" s="43"/>
      <c r="K2" s="44"/>
      <c r="L2" s="61">
        <v>46132</v>
      </c>
      <c r="M2" s="432" t="s">
        <v>2441</v>
      </c>
      <c r="N2" s="433"/>
      <c r="O2" s="59"/>
    </row>
    <row r="3" spans="1:15">
      <c r="A3" s="48"/>
      <c r="B3" s="43"/>
      <c r="C3" s="43"/>
      <c r="D3" s="49"/>
      <c r="E3" s="43"/>
      <c r="F3" s="48"/>
      <c r="G3" s="43"/>
      <c r="H3" s="426"/>
      <c r="I3" s="428"/>
      <c r="J3" s="43"/>
      <c r="K3" s="48"/>
      <c r="L3" s="43"/>
      <c r="M3" s="426"/>
      <c r="N3" s="428"/>
      <c r="O3" s="43"/>
    </row>
    <row r="4" spans="1:15">
      <c r="A4" s="48"/>
      <c r="B4" s="43"/>
      <c r="C4" s="43"/>
      <c r="D4" s="49"/>
      <c r="E4" s="43"/>
      <c r="F4" s="48"/>
      <c r="G4" s="43" t="s">
        <v>1466</v>
      </c>
      <c r="H4" s="43"/>
      <c r="I4" s="49" t="s">
        <v>1466</v>
      </c>
      <c r="J4" s="43"/>
      <c r="K4" s="48"/>
      <c r="L4" s="43" t="s">
        <v>1466</v>
      </c>
      <c r="M4" s="43"/>
      <c r="N4" s="49" t="s">
        <v>1466</v>
      </c>
      <c r="O4" s="43"/>
    </row>
    <row r="5" spans="1:15">
      <c r="A5" s="48" t="s">
        <v>1467</v>
      </c>
      <c r="B5" s="43" t="s">
        <v>1468</v>
      </c>
      <c r="C5" s="43" t="s">
        <v>1469</v>
      </c>
      <c r="D5" s="49" t="s">
        <v>1470</v>
      </c>
      <c r="E5" s="43"/>
      <c r="F5" s="48" t="s">
        <v>1471</v>
      </c>
      <c r="G5" s="43" t="s">
        <v>1472</v>
      </c>
      <c r="H5" s="43"/>
      <c r="I5" s="49" t="s">
        <v>1473</v>
      </c>
      <c r="J5" s="43"/>
      <c r="K5" s="48" t="s">
        <v>1471</v>
      </c>
      <c r="L5" s="43" t="s">
        <v>1472</v>
      </c>
      <c r="M5" s="43"/>
      <c r="N5" s="49" t="s">
        <v>1473</v>
      </c>
      <c r="O5" s="43"/>
    </row>
    <row r="6" spans="1:15">
      <c r="A6" s="48"/>
      <c r="B6" s="43"/>
      <c r="C6" s="43"/>
      <c r="D6" s="49"/>
      <c r="E6" s="43"/>
      <c r="F6" s="48"/>
      <c r="G6" s="43"/>
      <c r="H6" s="426"/>
      <c r="I6" s="428"/>
      <c r="J6" s="43"/>
      <c r="K6" s="48"/>
      <c r="L6" s="43"/>
      <c r="M6" s="426"/>
      <c r="N6" s="428"/>
      <c r="O6" s="43" t="s">
        <v>2442</v>
      </c>
    </row>
    <row r="7" spans="1:15">
      <c r="A7" s="48">
        <v>850430</v>
      </c>
      <c r="B7" s="43"/>
      <c r="C7" s="43" t="s">
        <v>1474</v>
      </c>
      <c r="D7" s="49" t="s">
        <v>1475</v>
      </c>
      <c r="E7" s="43"/>
      <c r="F7" s="50">
        <v>5.9</v>
      </c>
      <c r="G7" s="51">
        <v>2.65</v>
      </c>
      <c r="H7" s="43"/>
      <c r="I7" s="326">
        <f>G7/5</f>
        <v>0.53</v>
      </c>
      <c r="J7" s="327"/>
      <c r="K7" s="50">
        <v>7.5</v>
      </c>
      <c r="L7" s="51">
        <v>3.42</v>
      </c>
      <c r="M7" s="43"/>
      <c r="N7" s="326">
        <f>L7/5</f>
        <v>0.68399999999999994</v>
      </c>
      <c r="O7" s="328">
        <f>N7/I7</f>
        <v>1.290566037735849</v>
      </c>
    </row>
    <row r="8" spans="1:15">
      <c r="A8" s="48">
        <v>850432</v>
      </c>
      <c r="B8" s="43"/>
      <c r="C8" s="43" t="s">
        <v>1476</v>
      </c>
      <c r="D8" s="49" t="s">
        <v>1475</v>
      </c>
      <c r="E8" s="43"/>
      <c r="F8" s="50">
        <v>8.6</v>
      </c>
      <c r="G8" s="51">
        <v>3.87</v>
      </c>
      <c r="H8" s="43"/>
      <c r="I8" s="326">
        <f t="shared" ref="I8:I12" si="0">G8/5</f>
        <v>0.77400000000000002</v>
      </c>
      <c r="J8" s="327"/>
      <c r="K8" s="50">
        <v>10.8</v>
      </c>
      <c r="L8" s="51">
        <v>4.9000000000000004</v>
      </c>
      <c r="M8" s="43"/>
      <c r="N8" s="326">
        <f t="shared" ref="N8:N12" si="1">L8/5</f>
        <v>0.98000000000000009</v>
      </c>
      <c r="O8" s="328">
        <f>N8/I8</f>
        <v>1.2661498708010337</v>
      </c>
    </row>
    <row r="9" spans="1:15">
      <c r="A9" s="48">
        <v>850434</v>
      </c>
      <c r="B9" s="43"/>
      <c r="C9" s="43" t="s">
        <v>1477</v>
      </c>
      <c r="D9" s="49" t="s">
        <v>1475</v>
      </c>
      <c r="E9" s="43"/>
      <c r="F9" s="50">
        <v>11.8</v>
      </c>
      <c r="G9" s="51">
        <v>5.31</v>
      </c>
      <c r="H9" s="43"/>
      <c r="I9" s="326">
        <f t="shared" si="0"/>
        <v>1.0619999999999998</v>
      </c>
      <c r="J9" s="327"/>
      <c r="K9" s="50">
        <v>14.9</v>
      </c>
      <c r="L9" s="51">
        <v>6.75</v>
      </c>
      <c r="M9" s="43"/>
      <c r="N9" s="326">
        <f t="shared" si="1"/>
        <v>1.35</v>
      </c>
      <c r="O9" s="328">
        <f>N9/I9</f>
        <v>1.2711864406779665</v>
      </c>
    </row>
    <row r="10" spans="1:15">
      <c r="A10" s="48">
        <v>850436</v>
      </c>
      <c r="B10" s="43"/>
      <c r="C10" s="43" t="s">
        <v>1478</v>
      </c>
      <c r="D10" s="49" t="s">
        <v>1475</v>
      </c>
      <c r="E10" s="43"/>
      <c r="F10" s="50">
        <v>14.2</v>
      </c>
      <c r="G10" s="51">
        <v>6.39</v>
      </c>
      <c r="H10" s="43"/>
      <c r="I10" s="326">
        <f t="shared" si="0"/>
        <v>1.278</v>
      </c>
      <c r="J10" s="327"/>
      <c r="K10" s="50">
        <v>18</v>
      </c>
      <c r="L10" s="51">
        <v>8.14</v>
      </c>
      <c r="M10" s="43"/>
      <c r="N10" s="326">
        <f t="shared" si="1"/>
        <v>1.6280000000000001</v>
      </c>
      <c r="O10" s="328">
        <f t="shared" ref="O10:O34" si="2">N10/I10</f>
        <v>1.2738654147104851</v>
      </c>
    </row>
    <row r="11" spans="1:15">
      <c r="A11" s="48">
        <v>850438</v>
      </c>
      <c r="B11" s="43"/>
      <c r="C11" s="43" t="s">
        <v>1479</v>
      </c>
      <c r="D11" s="49" t="s">
        <v>1475</v>
      </c>
      <c r="E11" s="43"/>
      <c r="F11" s="50">
        <v>20.5</v>
      </c>
      <c r="G11" s="51">
        <v>9.2200000000000006</v>
      </c>
      <c r="H11" s="43"/>
      <c r="I11" s="326">
        <f t="shared" si="0"/>
        <v>1.8440000000000001</v>
      </c>
      <c r="J11" s="327"/>
      <c r="K11" s="50">
        <v>26.1</v>
      </c>
      <c r="L11" s="51">
        <v>11.83</v>
      </c>
      <c r="M11" s="43"/>
      <c r="N11" s="326">
        <f t="shared" si="1"/>
        <v>2.3660000000000001</v>
      </c>
      <c r="O11" s="328">
        <f t="shared" si="2"/>
        <v>1.2830802603036877</v>
      </c>
    </row>
    <row r="12" spans="1:15">
      <c r="A12" s="48">
        <v>850440</v>
      </c>
      <c r="B12" s="43"/>
      <c r="C12" s="43" t="s">
        <v>1480</v>
      </c>
      <c r="D12" s="49" t="s">
        <v>1475</v>
      </c>
      <c r="E12" s="43"/>
      <c r="F12" s="50">
        <v>29.6</v>
      </c>
      <c r="G12" s="51">
        <v>13.32</v>
      </c>
      <c r="H12" s="43"/>
      <c r="I12" s="326">
        <f t="shared" si="0"/>
        <v>2.6640000000000001</v>
      </c>
      <c r="J12" s="327"/>
      <c r="K12" s="50">
        <v>37.700000000000003</v>
      </c>
      <c r="L12" s="51">
        <v>17.100000000000001</v>
      </c>
      <c r="M12" s="43"/>
      <c r="N12" s="326">
        <f t="shared" si="1"/>
        <v>3.4200000000000004</v>
      </c>
      <c r="O12" s="328">
        <f t="shared" si="2"/>
        <v>1.2837837837837838</v>
      </c>
    </row>
    <row r="13" spans="1:15">
      <c r="A13" s="48"/>
      <c r="B13" s="43"/>
      <c r="C13" s="43"/>
      <c r="D13" s="49"/>
      <c r="E13" s="43"/>
      <c r="F13" s="48"/>
      <c r="G13" s="43"/>
      <c r="H13" s="426"/>
      <c r="I13" s="428"/>
      <c r="J13" s="43"/>
      <c r="K13" s="48"/>
      <c r="L13" s="43"/>
      <c r="M13" s="426"/>
      <c r="N13" s="428"/>
      <c r="O13" s="328"/>
    </row>
    <row r="14" spans="1:15">
      <c r="A14" s="48"/>
      <c r="B14" s="43"/>
      <c r="C14" s="43"/>
      <c r="D14" s="49"/>
      <c r="E14" s="43"/>
      <c r="F14" s="48"/>
      <c r="G14" s="43"/>
      <c r="H14" s="43"/>
      <c r="I14" s="49" t="s">
        <v>1481</v>
      </c>
      <c r="J14" s="43"/>
      <c r="K14" s="48"/>
      <c r="L14" s="43"/>
      <c r="M14" s="43"/>
      <c r="N14" s="49" t="s">
        <v>1481</v>
      </c>
      <c r="O14" s="328"/>
    </row>
    <row r="15" spans="1:15">
      <c r="A15" s="48">
        <v>821800</v>
      </c>
      <c r="B15" s="43"/>
      <c r="C15" s="43" t="s">
        <v>1482</v>
      </c>
      <c r="D15" s="49" t="s">
        <v>1483</v>
      </c>
      <c r="E15" s="43"/>
      <c r="F15" s="50">
        <v>14</v>
      </c>
      <c r="G15" s="51">
        <v>7.42</v>
      </c>
      <c r="H15" s="43"/>
      <c r="I15" s="52">
        <f>G15</f>
        <v>7.42</v>
      </c>
      <c r="J15" s="51"/>
      <c r="K15" s="50">
        <v>14.9</v>
      </c>
      <c r="L15" s="51">
        <v>7.9</v>
      </c>
      <c r="M15" s="43"/>
      <c r="N15" s="52">
        <f>L15</f>
        <v>7.9</v>
      </c>
      <c r="O15" s="328">
        <f t="shared" si="2"/>
        <v>1.0646900269541779</v>
      </c>
    </row>
    <row r="16" spans="1:15">
      <c r="A16" s="48">
        <v>821801</v>
      </c>
      <c r="B16" s="43"/>
      <c r="C16" s="43" t="s">
        <v>1484</v>
      </c>
      <c r="D16" s="49" t="s">
        <v>1485</v>
      </c>
      <c r="E16" s="43"/>
      <c r="F16" s="50">
        <v>14.4</v>
      </c>
      <c r="G16" s="51">
        <v>7.63</v>
      </c>
      <c r="H16" s="43"/>
      <c r="I16" s="52">
        <f>G16</f>
        <v>7.63</v>
      </c>
      <c r="J16" s="51"/>
      <c r="K16" s="50">
        <v>15.3</v>
      </c>
      <c r="L16" s="51">
        <v>8.11</v>
      </c>
      <c r="M16" s="43"/>
      <c r="N16" s="52">
        <f>L16</f>
        <v>8.11</v>
      </c>
      <c r="O16" s="328">
        <f t="shared" si="2"/>
        <v>1.0629095674967235</v>
      </c>
    </row>
    <row r="17" spans="1:15">
      <c r="A17" s="48">
        <v>821802</v>
      </c>
      <c r="B17" s="43"/>
      <c r="C17" s="43" t="s">
        <v>1486</v>
      </c>
      <c r="D17" s="49" t="s">
        <v>1485</v>
      </c>
      <c r="E17" s="43"/>
      <c r="F17" s="50">
        <v>15.8</v>
      </c>
      <c r="G17" s="51">
        <v>8.3699999999999992</v>
      </c>
      <c r="H17" s="43"/>
      <c r="I17" s="52">
        <f>G17</f>
        <v>8.3699999999999992</v>
      </c>
      <c r="J17" s="51"/>
      <c r="K17" s="50">
        <v>16.899999999999999</v>
      </c>
      <c r="L17" s="51">
        <v>8.9600000000000009</v>
      </c>
      <c r="M17" s="43"/>
      <c r="N17" s="52">
        <f>L17</f>
        <v>8.9600000000000009</v>
      </c>
      <c r="O17" s="328">
        <f t="shared" si="2"/>
        <v>1.0704898446833933</v>
      </c>
    </row>
    <row r="18" spans="1:15">
      <c r="A18" s="48">
        <v>821803</v>
      </c>
      <c r="B18" s="43"/>
      <c r="C18" s="43" t="s">
        <v>1487</v>
      </c>
      <c r="D18" s="49" t="s">
        <v>1488</v>
      </c>
      <c r="E18" s="43"/>
      <c r="F18" s="50">
        <v>18</v>
      </c>
      <c r="G18" s="51">
        <v>9.5399999999999991</v>
      </c>
      <c r="H18" s="43"/>
      <c r="I18" s="52">
        <f>G18</f>
        <v>9.5399999999999991</v>
      </c>
      <c r="J18" s="51"/>
      <c r="K18" s="50">
        <v>19.100000000000001</v>
      </c>
      <c r="L18" s="51">
        <v>10.119999999999999</v>
      </c>
      <c r="M18" s="43"/>
      <c r="N18" s="52">
        <f>L18</f>
        <v>10.119999999999999</v>
      </c>
      <c r="O18" s="328">
        <f t="shared" si="2"/>
        <v>1.0607966457023061</v>
      </c>
    </row>
    <row r="19" spans="1:15">
      <c r="A19" s="48"/>
      <c r="B19" s="43"/>
      <c r="C19" s="43"/>
      <c r="D19" s="49"/>
      <c r="E19" s="43"/>
      <c r="F19" s="48"/>
      <c r="G19" s="43"/>
      <c r="H19" s="426"/>
      <c r="I19" s="428"/>
      <c r="J19" s="43"/>
      <c r="K19" s="48"/>
      <c r="L19" s="43"/>
      <c r="M19" s="426"/>
      <c r="N19" s="428"/>
      <c r="O19" s="328"/>
    </row>
    <row r="20" spans="1:15">
      <c r="A20" s="48"/>
      <c r="B20" s="43"/>
      <c r="C20" s="43"/>
      <c r="D20" s="49"/>
      <c r="E20" s="43"/>
      <c r="F20" s="48"/>
      <c r="G20" s="43"/>
      <c r="H20" s="43"/>
      <c r="I20" s="49" t="s">
        <v>1473</v>
      </c>
      <c r="J20" s="43"/>
      <c r="K20" s="48"/>
      <c r="L20" s="43"/>
      <c r="M20" s="43"/>
      <c r="N20" s="49" t="s">
        <v>1473</v>
      </c>
      <c r="O20" s="328"/>
    </row>
    <row r="21" spans="1:15">
      <c r="A21" s="48">
        <v>825716</v>
      </c>
      <c r="B21" s="43"/>
      <c r="C21" s="43" t="s">
        <v>1489</v>
      </c>
      <c r="D21" s="49" t="s">
        <v>1490</v>
      </c>
      <c r="E21" s="43"/>
      <c r="F21" s="50">
        <v>208</v>
      </c>
      <c r="G21" s="51">
        <v>72.8</v>
      </c>
      <c r="H21" s="43"/>
      <c r="I21" s="52">
        <f>G21/35</f>
        <v>2.08</v>
      </c>
      <c r="J21" s="51"/>
      <c r="K21" s="50">
        <v>222</v>
      </c>
      <c r="L21" s="51">
        <v>77.7</v>
      </c>
      <c r="M21" s="43"/>
      <c r="N21" s="52">
        <f>L21/35</f>
        <v>2.2200000000000002</v>
      </c>
      <c r="O21" s="328">
        <f t="shared" si="2"/>
        <v>1.0673076923076923</v>
      </c>
    </row>
    <row r="22" spans="1:15">
      <c r="A22" s="48">
        <v>825717</v>
      </c>
      <c r="B22" s="43"/>
      <c r="C22" s="43" t="s">
        <v>1491</v>
      </c>
      <c r="D22" s="49" t="s">
        <v>1492</v>
      </c>
      <c r="E22" s="43"/>
      <c r="F22" s="50">
        <v>196</v>
      </c>
      <c r="G22" s="51">
        <v>68.599999999999994</v>
      </c>
      <c r="H22" s="43"/>
      <c r="I22" s="52">
        <f>G22/32</f>
        <v>2.1437499999999998</v>
      </c>
      <c r="J22" s="51"/>
      <c r="K22" s="50">
        <v>210</v>
      </c>
      <c r="L22" s="51">
        <v>73.5</v>
      </c>
      <c r="M22" s="43"/>
      <c r="N22" s="52">
        <f>L22/32</f>
        <v>2.296875</v>
      </c>
      <c r="O22" s="328">
        <f t="shared" si="2"/>
        <v>1.0714285714285716</v>
      </c>
    </row>
    <row r="23" spans="1:15">
      <c r="A23" s="48">
        <v>825718</v>
      </c>
      <c r="B23" s="43"/>
      <c r="C23" s="43" t="s">
        <v>1493</v>
      </c>
      <c r="D23" s="49" t="s">
        <v>1494</v>
      </c>
      <c r="E23" s="43"/>
      <c r="F23" s="50">
        <v>192</v>
      </c>
      <c r="G23" s="51">
        <v>67.2</v>
      </c>
      <c r="H23" s="43"/>
      <c r="I23" s="52">
        <f>G23/28</f>
        <v>2.4</v>
      </c>
      <c r="J23" s="51"/>
      <c r="K23" s="50">
        <v>206</v>
      </c>
      <c r="L23" s="51">
        <v>72.099999999999994</v>
      </c>
      <c r="M23" s="43"/>
      <c r="N23" s="52">
        <f>L23/28</f>
        <v>2.5749999999999997</v>
      </c>
      <c r="O23" s="328">
        <f t="shared" si="2"/>
        <v>1.0729166666666665</v>
      </c>
    </row>
    <row r="24" spans="1:15">
      <c r="A24" s="48">
        <v>825719</v>
      </c>
      <c r="B24" s="43"/>
      <c r="C24" s="43" t="s">
        <v>1495</v>
      </c>
      <c r="D24" s="49" t="s">
        <v>1496</v>
      </c>
      <c r="E24" s="43"/>
      <c r="F24" s="50">
        <v>200</v>
      </c>
      <c r="G24" s="51">
        <v>70</v>
      </c>
      <c r="H24" s="43"/>
      <c r="I24" s="52">
        <f>G24/27</f>
        <v>2.5925925925925926</v>
      </c>
      <c r="J24" s="51"/>
      <c r="K24" s="50">
        <v>215</v>
      </c>
      <c r="L24" s="51">
        <v>75.25</v>
      </c>
      <c r="M24" s="43"/>
      <c r="N24" s="52">
        <f>L24/27</f>
        <v>2.7870370370370372</v>
      </c>
      <c r="O24" s="328">
        <f t="shared" si="2"/>
        <v>1.0750000000000002</v>
      </c>
    </row>
    <row r="25" spans="1:15">
      <c r="A25" s="48">
        <v>825720</v>
      </c>
      <c r="B25" s="43"/>
      <c r="C25" s="43" t="s">
        <v>1497</v>
      </c>
      <c r="D25" s="49" t="s">
        <v>1498</v>
      </c>
      <c r="E25" s="43"/>
      <c r="F25" s="50">
        <v>207</v>
      </c>
      <c r="G25" s="51">
        <v>72.45</v>
      </c>
      <c r="H25" s="43"/>
      <c r="I25" s="52">
        <f>G25/20</f>
        <v>3.6225000000000001</v>
      </c>
      <c r="J25" s="51"/>
      <c r="K25" s="50">
        <v>222</v>
      </c>
      <c r="L25" s="51">
        <v>77.7</v>
      </c>
      <c r="M25" s="43"/>
      <c r="N25" s="52">
        <f>L25/20</f>
        <v>3.8850000000000002</v>
      </c>
      <c r="O25" s="328">
        <f t="shared" si="2"/>
        <v>1.0724637681159421</v>
      </c>
    </row>
    <row r="26" spans="1:15">
      <c r="A26" s="48">
        <v>825721</v>
      </c>
      <c r="B26" s="43"/>
      <c r="C26" s="43" t="s">
        <v>1499</v>
      </c>
      <c r="D26" s="49" t="s">
        <v>1498</v>
      </c>
      <c r="E26" s="43"/>
      <c r="F26" s="50">
        <v>184</v>
      </c>
      <c r="G26" s="51">
        <v>64.400000000000006</v>
      </c>
      <c r="H26" s="43"/>
      <c r="I26" s="52">
        <f>G26/20</f>
        <v>3.22</v>
      </c>
      <c r="J26" s="51"/>
      <c r="K26" s="50">
        <v>198</v>
      </c>
      <c r="L26" s="51">
        <v>69.3</v>
      </c>
      <c r="M26" s="43"/>
      <c r="N26" s="52">
        <f>L26/20</f>
        <v>3.4649999999999999</v>
      </c>
      <c r="O26" s="328">
        <f t="shared" si="2"/>
        <v>1.076086956521739</v>
      </c>
    </row>
    <row r="27" spans="1:15">
      <c r="A27" s="48"/>
      <c r="B27" s="43"/>
      <c r="C27" s="43"/>
      <c r="D27" s="49"/>
      <c r="E27" s="43"/>
      <c r="F27" s="48"/>
      <c r="G27" s="43"/>
      <c r="H27" s="426"/>
      <c r="I27" s="428"/>
      <c r="J27" s="43"/>
      <c r="K27" s="48"/>
      <c r="L27" s="43"/>
      <c r="M27" s="426"/>
      <c r="N27" s="428"/>
      <c r="O27" s="328"/>
    </row>
    <row r="28" spans="1:15">
      <c r="A28" s="48"/>
      <c r="B28" s="43"/>
      <c r="C28" s="43"/>
      <c r="D28" s="49"/>
      <c r="E28" s="43"/>
      <c r="F28" s="48"/>
      <c r="G28" s="43"/>
      <c r="H28" s="43"/>
      <c r="I28" s="49" t="s">
        <v>1473</v>
      </c>
      <c r="J28" s="43"/>
      <c r="K28" s="48"/>
      <c r="L28" s="43"/>
      <c r="M28" s="43"/>
      <c r="N28" s="49" t="s">
        <v>1473</v>
      </c>
      <c r="O28" s="328"/>
    </row>
    <row r="29" spans="1:15">
      <c r="A29" s="48">
        <v>825539</v>
      </c>
      <c r="B29" s="43"/>
      <c r="C29" s="43" t="s">
        <v>1489</v>
      </c>
      <c r="D29" s="49" t="s">
        <v>1500</v>
      </c>
      <c r="E29" s="43"/>
      <c r="F29" s="50">
        <v>6</v>
      </c>
      <c r="G29" s="51">
        <v>2.1</v>
      </c>
      <c r="H29" s="43"/>
      <c r="I29" s="52">
        <f t="shared" ref="I29:I34" si="3">G29/2</f>
        <v>1.05</v>
      </c>
      <c r="J29" s="51"/>
      <c r="K29" s="50">
        <v>6.35</v>
      </c>
      <c r="L29" s="51">
        <v>2.2200000000000002</v>
      </c>
      <c r="M29" s="43"/>
      <c r="N29" s="52">
        <f t="shared" ref="N29:N34" si="4">L29/2</f>
        <v>1.1100000000000001</v>
      </c>
      <c r="O29" s="328">
        <f t="shared" si="2"/>
        <v>1.0571428571428572</v>
      </c>
    </row>
    <row r="30" spans="1:15">
      <c r="A30" s="48">
        <v>825540</v>
      </c>
      <c r="B30" s="43"/>
      <c r="C30" s="43" t="s">
        <v>1491</v>
      </c>
      <c r="D30" s="49" t="s">
        <v>1500</v>
      </c>
      <c r="E30" s="43"/>
      <c r="F30" s="50">
        <v>6.1</v>
      </c>
      <c r="G30" s="51">
        <v>2.13</v>
      </c>
      <c r="H30" s="43"/>
      <c r="I30" s="52">
        <f t="shared" si="3"/>
        <v>1.0649999999999999</v>
      </c>
      <c r="J30" s="51"/>
      <c r="K30" s="50">
        <v>6.55</v>
      </c>
      <c r="L30" s="51">
        <v>2.29</v>
      </c>
      <c r="M30" s="43"/>
      <c r="N30" s="52">
        <f t="shared" si="4"/>
        <v>1.145</v>
      </c>
      <c r="O30" s="328">
        <f t="shared" si="2"/>
        <v>1.0751173708920188</v>
      </c>
    </row>
    <row r="31" spans="1:15">
      <c r="A31" s="48">
        <v>825541</v>
      </c>
      <c r="B31" s="43"/>
      <c r="C31" s="43" t="s">
        <v>1493</v>
      </c>
      <c r="D31" s="49" t="s">
        <v>1500</v>
      </c>
      <c r="E31" s="43"/>
      <c r="F31" s="50">
        <v>6.85</v>
      </c>
      <c r="G31" s="51">
        <v>2.4</v>
      </c>
      <c r="H31" s="43"/>
      <c r="I31" s="52">
        <f t="shared" si="3"/>
        <v>1.2</v>
      </c>
      <c r="J31" s="51"/>
      <c r="K31" s="50">
        <v>7.35</v>
      </c>
      <c r="L31" s="51">
        <v>2.57</v>
      </c>
      <c r="M31" s="43"/>
      <c r="N31" s="52">
        <f t="shared" si="4"/>
        <v>1.2849999999999999</v>
      </c>
      <c r="O31" s="328">
        <f t="shared" si="2"/>
        <v>1.0708333333333333</v>
      </c>
    </row>
    <row r="32" spans="1:15">
      <c r="A32" s="48">
        <v>825542</v>
      </c>
      <c r="B32" s="43"/>
      <c r="C32" s="43" t="s">
        <v>1495</v>
      </c>
      <c r="D32" s="49" t="s">
        <v>1500</v>
      </c>
      <c r="E32" s="43"/>
      <c r="F32" s="50">
        <v>7.45</v>
      </c>
      <c r="G32" s="51">
        <v>2.61</v>
      </c>
      <c r="H32" s="43"/>
      <c r="I32" s="52">
        <f t="shared" si="3"/>
        <v>1.3049999999999999</v>
      </c>
      <c r="J32" s="51"/>
      <c r="K32" s="50">
        <v>7.95</v>
      </c>
      <c r="L32" s="51">
        <v>2.78</v>
      </c>
      <c r="M32" s="43"/>
      <c r="N32" s="52">
        <f t="shared" si="4"/>
        <v>1.39</v>
      </c>
      <c r="O32" s="328">
        <f t="shared" si="2"/>
        <v>1.0651340996168581</v>
      </c>
    </row>
    <row r="33" spans="1:15">
      <c r="A33" s="48">
        <v>825543</v>
      </c>
      <c r="B33" s="43"/>
      <c r="C33" s="43" t="s">
        <v>1497</v>
      </c>
      <c r="D33" s="49" t="s">
        <v>1500</v>
      </c>
      <c r="E33" s="43"/>
      <c r="F33" s="50">
        <v>8</v>
      </c>
      <c r="G33" s="51">
        <v>2.8</v>
      </c>
      <c r="H33" s="43"/>
      <c r="I33" s="52">
        <f t="shared" si="3"/>
        <v>1.4</v>
      </c>
      <c r="J33" s="51"/>
      <c r="K33" s="50">
        <v>8.5500000000000007</v>
      </c>
      <c r="L33" s="51">
        <v>2.99</v>
      </c>
      <c r="M33" s="43"/>
      <c r="N33" s="52">
        <f t="shared" si="4"/>
        <v>1.4950000000000001</v>
      </c>
      <c r="O33" s="328">
        <f t="shared" si="2"/>
        <v>1.0678571428571431</v>
      </c>
    </row>
    <row r="34" spans="1:15">
      <c r="A34" s="48">
        <v>825544</v>
      </c>
      <c r="B34" s="43"/>
      <c r="C34" s="43" t="s">
        <v>1499</v>
      </c>
      <c r="D34" s="49" t="s">
        <v>1500</v>
      </c>
      <c r="E34" s="43"/>
      <c r="F34" s="50">
        <v>9.25</v>
      </c>
      <c r="G34" s="51">
        <v>3.24</v>
      </c>
      <c r="H34" s="43"/>
      <c r="I34" s="52">
        <f t="shared" si="3"/>
        <v>1.62</v>
      </c>
      <c r="J34" s="51"/>
      <c r="K34" s="50">
        <v>9.9</v>
      </c>
      <c r="L34" s="51">
        <v>3.46</v>
      </c>
      <c r="M34" s="43"/>
      <c r="N34" s="52">
        <f t="shared" si="4"/>
        <v>1.73</v>
      </c>
      <c r="O34" s="328">
        <f t="shared" si="2"/>
        <v>1.0679012345679011</v>
      </c>
    </row>
    <row r="35" spans="1:15" ht="15.75" thickBot="1">
      <c r="A35" s="53"/>
      <c r="B35" s="54"/>
      <c r="C35" s="54"/>
      <c r="D35" s="55"/>
      <c r="E35" s="43"/>
      <c r="F35" s="53"/>
      <c r="G35" s="54"/>
      <c r="H35" s="430"/>
      <c r="I35" s="431"/>
      <c r="J35" s="43"/>
      <c r="K35" s="53"/>
      <c r="L35" s="54"/>
      <c r="M35" s="430"/>
      <c r="N35" s="431"/>
      <c r="O35" s="43"/>
    </row>
    <row r="36" spans="1:15">
      <c r="A36" s="43"/>
      <c r="B36" s="43"/>
      <c r="C36" s="43"/>
      <c r="D36" s="43"/>
      <c r="E36" s="426"/>
      <c r="F36" s="426"/>
      <c r="G36" s="43"/>
      <c r="H36" s="427"/>
      <c r="I36" s="427"/>
      <c r="J36" s="43"/>
      <c r="K36" s="43"/>
      <c r="L36" s="43"/>
      <c r="M36" s="427"/>
      <c r="N36" s="427"/>
      <c r="O36" s="43"/>
    </row>
    <row r="37" spans="1:15" ht="15.75" thickBot="1">
      <c r="A37" s="43"/>
      <c r="B37" s="43"/>
      <c r="C37" s="43"/>
      <c r="D37" s="43"/>
      <c r="E37" s="426"/>
      <c r="F37" s="426"/>
      <c r="G37" s="43"/>
      <c r="H37" s="430"/>
      <c r="I37" s="430"/>
      <c r="J37" s="43"/>
      <c r="K37" s="43"/>
      <c r="L37" s="43"/>
      <c r="M37" s="430"/>
      <c r="N37" s="430"/>
      <c r="O37" s="43"/>
    </row>
    <row r="38" spans="1:15">
      <c r="A38" s="44"/>
      <c r="B38" s="47" t="s">
        <v>1501</v>
      </c>
      <c r="C38" s="45"/>
      <c r="D38" s="46"/>
      <c r="E38" s="43"/>
      <c r="F38" s="56" t="s">
        <v>1501</v>
      </c>
      <c r="G38" s="45"/>
      <c r="H38" s="427"/>
      <c r="I38" s="429"/>
      <c r="J38" s="43"/>
      <c r="K38" s="56" t="s">
        <v>1501</v>
      </c>
      <c r="L38" s="45"/>
      <c r="M38" s="427"/>
      <c r="N38" s="429"/>
      <c r="O38" s="43"/>
    </row>
    <row r="39" spans="1:15">
      <c r="A39" s="48"/>
      <c r="B39" s="43"/>
      <c r="C39" s="43"/>
      <c r="D39" s="49"/>
      <c r="E39" s="43"/>
      <c r="F39" s="48" t="s">
        <v>1502</v>
      </c>
      <c r="G39" s="43"/>
      <c r="H39" s="43"/>
      <c r="I39" s="57" t="s">
        <v>1503</v>
      </c>
      <c r="J39" s="329"/>
      <c r="K39" s="48" t="s">
        <v>1502</v>
      </c>
      <c r="L39" s="43"/>
      <c r="M39" s="43"/>
      <c r="N39" s="57" t="s">
        <v>1503</v>
      </c>
      <c r="O39" s="329"/>
    </row>
    <row r="40" spans="1:15">
      <c r="A40" s="48"/>
      <c r="B40" s="43" t="s">
        <v>1504</v>
      </c>
      <c r="C40" s="43"/>
      <c r="D40" s="49"/>
      <c r="E40" s="43"/>
      <c r="F40" s="50">
        <f>I7+I15+I21</f>
        <v>10.030000000000001</v>
      </c>
      <c r="G40" s="43"/>
      <c r="H40" s="43"/>
      <c r="I40" s="52">
        <f>I7+I15+I29</f>
        <v>9</v>
      </c>
      <c r="J40" s="51"/>
      <c r="K40" s="50">
        <f>N7+N15+N21</f>
        <v>10.804</v>
      </c>
      <c r="L40" s="43"/>
      <c r="M40" s="43"/>
      <c r="N40" s="52">
        <f>N7+N15+N29</f>
        <v>9.6939999999999991</v>
      </c>
      <c r="O40" s="43"/>
    </row>
    <row r="41" spans="1:15">
      <c r="A41" s="48"/>
      <c r="B41" s="43" t="s">
        <v>1505</v>
      </c>
      <c r="C41" s="43"/>
      <c r="D41" s="49"/>
      <c r="E41" s="43"/>
      <c r="F41" s="50">
        <f>I8+I15+I22</f>
        <v>10.33775</v>
      </c>
      <c r="G41" s="43"/>
      <c r="H41" s="43"/>
      <c r="I41" s="52">
        <f>I8+I15+I30</f>
        <v>9.2589999999999986</v>
      </c>
      <c r="J41" s="51"/>
      <c r="K41" s="50">
        <f>N8+N15+N22</f>
        <v>11.176875000000001</v>
      </c>
      <c r="L41" s="43"/>
      <c r="M41" s="43"/>
      <c r="N41" s="52">
        <f>N8+N15+N30</f>
        <v>10.025</v>
      </c>
      <c r="O41" s="43"/>
    </row>
    <row r="42" spans="1:15">
      <c r="A42" s="48"/>
      <c r="B42" s="43" t="s">
        <v>1506</v>
      </c>
      <c r="C42" s="43"/>
      <c r="D42" s="49"/>
      <c r="E42" s="43"/>
      <c r="F42" s="50">
        <f>I9+I16+I23</f>
        <v>11.092000000000001</v>
      </c>
      <c r="G42" s="43"/>
      <c r="H42" s="43"/>
      <c r="I42" s="52">
        <f>I9+I16+I31</f>
        <v>9.8919999999999995</v>
      </c>
      <c r="J42" s="51"/>
      <c r="K42" s="50">
        <f>N9+N16+N23</f>
        <v>12.034999999999998</v>
      </c>
      <c r="L42" s="43"/>
      <c r="M42" s="43"/>
      <c r="N42" s="52">
        <f>N9+N16+N31</f>
        <v>10.744999999999999</v>
      </c>
      <c r="O42" s="43"/>
    </row>
    <row r="43" spans="1:15">
      <c r="A43" s="48"/>
      <c r="B43" s="43" t="s">
        <v>1507</v>
      </c>
      <c r="C43" s="43"/>
      <c r="D43" s="49"/>
      <c r="E43" s="43"/>
      <c r="F43" s="50">
        <f>I10+I16+I24</f>
        <v>11.500592592592593</v>
      </c>
      <c r="G43" s="43"/>
      <c r="H43" s="43"/>
      <c r="I43" s="52">
        <f>I10+I16+I32</f>
        <v>10.212999999999999</v>
      </c>
      <c r="J43" s="51"/>
      <c r="K43" s="50">
        <f>N10+N16+N24</f>
        <v>12.525037037037038</v>
      </c>
      <c r="L43" s="43"/>
      <c r="M43" s="43"/>
      <c r="N43" s="52">
        <f>N10+N16+N32</f>
        <v>11.128</v>
      </c>
      <c r="O43" s="43"/>
    </row>
    <row r="44" spans="1:15">
      <c r="A44" s="48"/>
      <c r="B44" s="43" t="s">
        <v>1508</v>
      </c>
      <c r="C44" s="43"/>
      <c r="D44" s="49"/>
      <c r="E44" s="43"/>
      <c r="F44" s="50">
        <f>I11+I17+I25</f>
        <v>13.836499999999999</v>
      </c>
      <c r="G44" s="43"/>
      <c r="H44" s="43"/>
      <c r="I44" s="52">
        <f>I11+I17+I33</f>
        <v>11.613999999999999</v>
      </c>
      <c r="J44" s="51"/>
      <c r="K44" s="50">
        <f>N11+N17+N25</f>
        <v>15.211</v>
      </c>
      <c r="L44" s="43"/>
      <c r="M44" s="43"/>
      <c r="N44" s="52">
        <f>N11+N17+N33</f>
        <v>12.821000000000002</v>
      </c>
      <c r="O44" s="43"/>
    </row>
    <row r="45" spans="1:15">
      <c r="A45" s="48"/>
      <c r="B45" s="43" t="s">
        <v>1509</v>
      </c>
      <c r="C45" s="43"/>
      <c r="D45" s="49"/>
      <c r="E45" s="43"/>
      <c r="F45" s="50">
        <f>I12+I18+I26</f>
        <v>15.423999999999999</v>
      </c>
      <c r="G45" s="43"/>
      <c r="H45" s="43"/>
      <c r="I45" s="52">
        <f>I12+I18+I34</f>
        <v>13.823999999999998</v>
      </c>
      <c r="J45" s="51"/>
      <c r="K45" s="50">
        <f>N12+N18+N26</f>
        <v>17.004999999999999</v>
      </c>
      <c r="L45" s="43"/>
      <c r="M45" s="43"/>
      <c r="N45" s="52">
        <f>N12+N18+N34</f>
        <v>15.27</v>
      </c>
      <c r="O45" s="43"/>
    </row>
    <row r="46" spans="1:15">
      <c r="A46" s="48"/>
      <c r="B46" s="43"/>
      <c r="C46" s="43"/>
      <c r="D46" s="49"/>
      <c r="E46" s="43"/>
      <c r="F46" s="48"/>
      <c r="G46" s="43"/>
      <c r="H46" s="43"/>
      <c r="I46" s="49"/>
      <c r="J46" s="43"/>
      <c r="K46" s="48"/>
      <c r="L46" s="43"/>
      <c r="M46" s="43"/>
      <c r="N46" s="49"/>
      <c r="O46" s="43"/>
    </row>
    <row r="47" spans="1:15">
      <c r="A47" s="48"/>
      <c r="B47" s="43"/>
      <c r="C47" s="43"/>
      <c r="D47" s="49"/>
      <c r="E47" s="43"/>
      <c r="F47" s="48"/>
      <c r="G47" s="43"/>
      <c r="H47" s="43"/>
      <c r="I47" s="49"/>
      <c r="J47" s="43"/>
      <c r="K47" s="48"/>
      <c r="L47" s="43"/>
      <c r="M47" s="43"/>
      <c r="N47" s="49"/>
      <c r="O47" s="43"/>
    </row>
    <row r="48" spans="1:15">
      <c r="A48" s="48"/>
      <c r="B48" s="58" t="s">
        <v>1510</v>
      </c>
      <c r="C48" s="43"/>
      <c r="D48" s="49"/>
      <c r="E48" s="43"/>
      <c r="F48" s="48"/>
      <c r="G48" s="43"/>
      <c r="H48" s="43"/>
      <c r="I48" s="49"/>
      <c r="J48" s="43"/>
      <c r="K48" s="48"/>
      <c r="L48" s="43"/>
      <c r="M48" s="43"/>
      <c r="N48" s="49"/>
      <c r="O48" s="43"/>
    </row>
    <row r="49" spans="1:15">
      <c r="A49" s="48" t="s">
        <v>1729</v>
      </c>
      <c r="B49" s="43" t="s">
        <v>1511</v>
      </c>
      <c r="C49" s="43" t="s">
        <v>1512</v>
      </c>
      <c r="D49" s="49"/>
      <c r="E49" s="43"/>
      <c r="F49" s="50">
        <f>F40+F43</f>
        <v>21.530592592592594</v>
      </c>
      <c r="G49" s="43"/>
      <c r="H49" s="43"/>
      <c r="I49" s="52">
        <f>I40+I43</f>
        <v>19.213000000000001</v>
      </c>
      <c r="J49" s="51"/>
      <c r="K49" s="60">
        <f>K40+K43</f>
        <v>23.32903703703704</v>
      </c>
      <c r="L49" s="43"/>
      <c r="M49" s="43"/>
      <c r="N49" s="52">
        <f>N40+N43</f>
        <v>20.821999999999999</v>
      </c>
      <c r="O49" s="328">
        <f t="shared" ref="O49:O59" si="5">N49/I49</f>
        <v>1.083745380731796</v>
      </c>
    </row>
    <row r="50" spans="1:15">
      <c r="A50" s="48" t="s">
        <v>1730</v>
      </c>
      <c r="B50" s="43" t="s">
        <v>1513</v>
      </c>
      <c r="C50" s="43" t="s">
        <v>1514</v>
      </c>
      <c r="D50" s="49"/>
      <c r="E50" s="43"/>
      <c r="F50" s="50">
        <f>F40+F44</f>
        <v>23.866500000000002</v>
      </c>
      <c r="G50" s="43"/>
      <c r="H50" s="43"/>
      <c r="I50" s="52">
        <f>I40+I44</f>
        <v>20.613999999999997</v>
      </c>
      <c r="J50" s="51"/>
      <c r="K50" s="60">
        <f>K40+K44</f>
        <v>26.015000000000001</v>
      </c>
      <c r="L50" s="43"/>
      <c r="M50" s="43"/>
      <c r="N50" s="52">
        <f>N40+N44</f>
        <v>22.515000000000001</v>
      </c>
      <c r="O50" s="328">
        <f t="shared" si="5"/>
        <v>1.0922188803725625</v>
      </c>
    </row>
    <row r="51" spans="1:15">
      <c r="A51" s="48" t="s">
        <v>1731</v>
      </c>
      <c r="B51" s="43" t="s">
        <v>1515</v>
      </c>
      <c r="C51" s="43" t="s">
        <v>1516</v>
      </c>
      <c r="D51" s="49"/>
      <c r="E51" s="43"/>
      <c r="F51" s="50">
        <f>F41+F44</f>
        <v>24.174250000000001</v>
      </c>
      <c r="G51" s="43"/>
      <c r="H51" s="43"/>
      <c r="I51" s="52">
        <f>I41+I44</f>
        <v>20.872999999999998</v>
      </c>
      <c r="J51" s="51"/>
      <c r="K51" s="60">
        <f>K41+K44</f>
        <v>26.387875000000001</v>
      </c>
      <c r="L51" s="43"/>
      <c r="M51" s="43"/>
      <c r="N51" s="52">
        <f>N41+N44</f>
        <v>22.846000000000004</v>
      </c>
      <c r="O51" s="328">
        <f t="shared" si="5"/>
        <v>1.0945240262540126</v>
      </c>
    </row>
    <row r="52" spans="1:15">
      <c r="A52" s="48" t="s">
        <v>1736</v>
      </c>
      <c r="B52" s="43" t="s">
        <v>1517</v>
      </c>
      <c r="C52" s="43" t="s">
        <v>1518</v>
      </c>
      <c r="D52" s="49"/>
      <c r="E52" s="43"/>
      <c r="F52" s="50">
        <f>F41+F45</f>
        <v>25.761749999999999</v>
      </c>
      <c r="G52" s="43"/>
      <c r="H52" s="43"/>
      <c r="I52" s="52">
        <f>I41+I45</f>
        <v>23.082999999999998</v>
      </c>
      <c r="J52" s="51"/>
      <c r="K52" s="60">
        <f>K41+K45</f>
        <v>28.181874999999998</v>
      </c>
      <c r="L52" s="43"/>
      <c r="M52" s="43"/>
      <c r="N52" s="52">
        <f>N41+N45</f>
        <v>25.295000000000002</v>
      </c>
      <c r="O52" s="328">
        <f t="shared" si="5"/>
        <v>1.0958280986007021</v>
      </c>
    </row>
    <row r="53" spans="1:15">
      <c r="A53" s="48" t="s">
        <v>1737</v>
      </c>
      <c r="B53" s="43" t="s">
        <v>1519</v>
      </c>
      <c r="C53" s="43" t="s">
        <v>1520</v>
      </c>
      <c r="D53" s="49"/>
      <c r="E53" s="43"/>
      <c r="F53" s="50">
        <f>F42+F45</f>
        <v>26.515999999999998</v>
      </c>
      <c r="G53" s="43"/>
      <c r="H53" s="43"/>
      <c r="I53" s="52">
        <f>I42+I45</f>
        <v>23.715999999999998</v>
      </c>
      <c r="J53" s="51"/>
      <c r="K53" s="60">
        <f>K42+K45</f>
        <v>29.04</v>
      </c>
      <c r="L53" s="43"/>
      <c r="M53" s="43"/>
      <c r="N53" s="52">
        <f>N42+N45</f>
        <v>26.015000000000001</v>
      </c>
      <c r="O53" s="328">
        <f t="shared" si="5"/>
        <v>1.0969387755102042</v>
      </c>
    </row>
    <row r="54" spans="1:15">
      <c r="A54" s="48"/>
      <c r="B54" s="43"/>
      <c r="C54" s="43"/>
      <c r="D54" s="49"/>
      <c r="E54" s="43"/>
      <c r="F54" s="48"/>
      <c r="G54" s="43"/>
      <c r="H54" s="43"/>
      <c r="I54" s="49"/>
      <c r="J54" s="43"/>
      <c r="K54" s="48"/>
      <c r="L54" s="43"/>
      <c r="M54" s="43"/>
      <c r="N54" s="49"/>
      <c r="O54" s="328"/>
    </row>
    <row r="55" spans="1:15">
      <c r="A55" s="48"/>
      <c r="B55" s="58" t="s">
        <v>1521</v>
      </c>
      <c r="C55" s="43"/>
      <c r="D55" s="49"/>
      <c r="E55" s="43"/>
      <c r="F55" s="48"/>
      <c r="G55" s="43"/>
      <c r="H55" s="43"/>
      <c r="I55" s="49"/>
      <c r="J55" s="43"/>
      <c r="K55" s="48"/>
      <c r="L55" s="43"/>
      <c r="M55" s="43"/>
      <c r="N55" s="49"/>
      <c r="O55" s="328"/>
    </row>
    <row r="56" spans="1:15">
      <c r="A56" s="48" t="s">
        <v>1732</v>
      </c>
      <c r="B56" s="43" t="s">
        <v>1511</v>
      </c>
      <c r="C56" s="43" t="s">
        <v>1522</v>
      </c>
      <c r="D56" s="49"/>
      <c r="E56" s="43"/>
      <c r="F56" s="50">
        <f>F40+F42+F43</f>
        <v>32.622592592592596</v>
      </c>
      <c r="G56" s="43"/>
      <c r="H56" s="43"/>
      <c r="I56" s="52">
        <f>I40+I42+I43</f>
        <v>29.104999999999997</v>
      </c>
      <c r="J56" s="51"/>
      <c r="K56" s="60">
        <f>K40+K42+K43</f>
        <v>35.364037037037036</v>
      </c>
      <c r="L56" s="43"/>
      <c r="M56" s="43"/>
      <c r="N56" s="52">
        <f>N40+N42+N43</f>
        <v>31.567</v>
      </c>
      <c r="O56" s="328">
        <f t="shared" si="5"/>
        <v>1.0845902765847795</v>
      </c>
    </row>
    <row r="57" spans="1:15">
      <c r="A57" s="48" t="s">
        <v>1733</v>
      </c>
      <c r="B57" s="43" t="s">
        <v>1513</v>
      </c>
      <c r="C57" s="43" t="s">
        <v>1523</v>
      </c>
      <c r="D57" s="49"/>
      <c r="E57" s="43"/>
      <c r="F57" s="50">
        <f>F40+F43+F44</f>
        <v>35.367092592592591</v>
      </c>
      <c r="G57" s="43"/>
      <c r="H57" s="43"/>
      <c r="I57" s="52">
        <f>I40+I43+I44</f>
        <v>30.826999999999998</v>
      </c>
      <c r="J57" s="51"/>
      <c r="K57" s="60">
        <f>K40+K43+K44</f>
        <v>38.540037037037038</v>
      </c>
      <c r="L57" s="43"/>
      <c r="M57" s="43"/>
      <c r="N57" s="52">
        <f>N40+N43+N44</f>
        <v>33.643000000000001</v>
      </c>
      <c r="O57" s="328">
        <f t="shared" si="5"/>
        <v>1.0913484932040096</v>
      </c>
    </row>
    <row r="58" spans="1:15">
      <c r="A58" s="48" t="s">
        <v>1734</v>
      </c>
      <c r="B58" s="43" t="s">
        <v>1524</v>
      </c>
      <c r="C58" s="43" t="s">
        <v>1525</v>
      </c>
      <c r="D58" s="49"/>
      <c r="E58" s="43"/>
      <c r="F58" s="50">
        <f>F41+F43+F45</f>
        <v>37.262342592592589</v>
      </c>
      <c r="G58" s="43"/>
      <c r="H58" s="43"/>
      <c r="I58" s="52">
        <f>I41+I43+I45</f>
        <v>33.295999999999992</v>
      </c>
      <c r="J58" s="51"/>
      <c r="K58" s="60">
        <f>K41+K43+K45</f>
        <v>40.706912037037043</v>
      </c>
      <c r="L58" s="43"/>
      <c r="M58" s="43"/>
      <c r="N58" s="52">
        <f>N41+N43+N45</f>
        <v>36.423000000000002</v>
      </c>
      <c r="O58" s="328">
        <f t="shared" si="5"/>
        <v>1.0939151850072084</v>
      </c>
    </row>
    <row r="59" spans="1:15">
      <c r="A59" s="48" t="s">
        <v>1735</v>
      </c>
      <c r="B59" s="43" t="s">
        <v>1526</v>
      </c>
      <c r="C59" s="43" t="s">
        <v>1527</v>
      </c>
      <c r="D59" s="49"/>
      <c r="E59" s="43"/>
      <c r="F59" s="50">
        <f>F41+F44+F45</f>
        <v>39.59825</v>
      </c>
      <c r="G59" s="43"/>
      <c r="H59" s="43"/>
      <c r="I59" s="52">
        <f>I41+I44+I45</f>
        <v>34.696999999999996</v>
      </c>
      <c r="J59" s="51"/>
      <c r="K59" s="60">
        <f>K41+K44+K45</f>
        <v>43.392875000000004</v>
      </c>
      <c r="L59" s="43"/>
      <c r="M59" s="43"/>
      <c r="N59" s="52">
        <f>N41+N44+N45</f>
        <v>38.116</v>
      </c>
      <c r="O59" s="328">
        <f t="shared" si="5"/>
        <v>1.0985387785687524</v>
      </c>
    </row>
    <row r="60" spans="1:15" ht="15.75" thickBot="1">
      <c r="A60" s="53"/>
      <c r="B60" s="54"/>
      <c r="C60" s="54"/>
      <c r="D60" s="55"/>
      <c r="E60" s="43"/>
      <c r="F60" s="53"/>
      <c r="G60" s="54"/>
      <c r="H60" s="430"/>
      <c r="I60" s="431"/>
      <c r="J60" s="43"/>
      <c r="K60" s="53"/>
      <c r="L60" s="54"/>
      <c r="M60" s="430"/>
      <c r="N60" s="431"/>
      <c r="O60" s="43"/>
    </row>
    <row r="61" spans="1:15">
      <c r="A61" s="43"/>
      <c r="B61" s="43"/>
      <c r="C61" s="43"/>
      <c r="D61" s="43"/>
      <c r="E61" s="426"/>
      <c r="F61" s="426"/>
      <c r="G61" s="43"/>
      <c r="H61" s="427"/>
      <c r="I61" s="427"/>
      <c r="J61" s="43"/>
    </row>
    <row r="62" spans="1:15">
      <c r="A62" s="43"/>
      <c r="B62" s="59" t="s">
        <v>1528</v>
      </c>
      <c r="C62" s="43"/>
      <c r="D62" s="43"/>
      <c r="E62" s="426"/>
      <c r="F62" s="426"/>
      <c r="G62" s="43"/>
      <c r="H62" s="426"/>
      <c r="I62" s="426"/>
      <c r="J62" s="43"/>
    </row>
    <row r="63" spans="1:15">
      <c r="A63" s="43"/>
      <c r="B63" s="43" t="s">
        <v>1529</v>
      </c>
      <c r="C63" s="43"/>
      <c r="D63" s="43"/>
      <c r="E63" s="426"/>
      <c r="F63" s="426"/>
      <c r="G63" s="43"/>
      <c r="H63" s="426"/>
      <c r="I63" s="426"/>
      <c r="J63" s="43"/>
    </row>
    <row r="64" spans="1:15">
      <c r="A64" s="43"/>
      <c r="B64" s="43" t="s">
        <v>1530</v>
      </c>
      <c r="C64" s="43"/>
      <c r="D64" s="43"/>
      <c r="E64" s="426"/>
      <c r="F64" s="426"/>
      <c r="G64" s="43"/>
      <c r="H64" s="426"/>
      <c r="I64" s="426"/>
      <c r="J64" s="43"/>
    </row>
    <row r="65" spans="1:10">
      <c r="A65" s="43"/>
      <c r="B65" s="43"/>
      <c r="C65" s="43"/>
      <c r="D65" s="43"/>
      <c r="E65" s="426"/>
      <c r="F65" s="426"/>
      <c r="G65" s="43"/>
      <c r="H65" s="426"/>
      <c r="I65" s="426"/>
      <c r="J65" s="43"/>
    </row>
    <row r="66" spans="1:10">
      <c r="A66" s="43"/>
      <c r="B66" s="43"/>
      <c r="C66" s="43"/>
      <c r="D66" s="43"/>
      <c r="E66" s="426"/>
      <c r="F66" s="426"/>
      <c r="G66" s="43"/>
      <c r="H66" s="426"/>
      <c r="I66" s="426"/>
      <c r="J66" s="43"/>
    </row>
    <row r="67" spans="1:10">
      <c r="A67" s="43"/>
      <c r="B67" s="59" t="s">
        <v>1531</v>
      </c>
      <c r="C67" s="43"/>
      <c r="D67" s="43" t="s">
        <v>1532</v>
      </c>
      <c r="E67" s="43"/>
      <c r="F67" s="43" t="s">
        <v>1533</v>
      </c>
      <c r="G67" s="43"/>
      <c r="H67" s="426"/>
      <c r="I67" s="426"/>
      <c r="J67" s="43"/>
    </row>
    <row r="68" spans="1:10">
      <c r="A68" s="43"/>
      <c r="B68" s="43" t="s">
        <v>1534</v>
      </c>
      <c r="C68" s="43"/>
      <c r="D68" s="43"/>
      <c r="E68" s="426"/>
      <c r="F68" s="426"/>
      <c r="G68" s="43"/>
      <c r="H68" s="426"/>
      <c r="I68" s="426"/>
      <c r="J68" s="43"/>
    </row>
    <row r="69" spans="1:10">
      <c r="A69" s="43"/>
      <c r="B69" s="43" t="s">
        <v>1535</v>
      </c>
      <c r="C69" s="43"/>
      <c r="D69" s="43"/>
      <c r="E69" s="426"/>
      <c r="F69" s="426"/>
      <c r="G69" s="43"/>
      <c r="H69" s="426"/>
      <c r="I69" s="426"/>
      <c r="J69" s="43"/>
    </row>
    <row r="70" spans="1:10">
      <c r="A70" s="43"/>
      <c r="B70" s="43" t="s">
        <v>1536</v>
      </c>
      <c r="C70" s="43"/>
      <c r="D70" s="43"/>
      <c r="E70" s="426"/>
      <c r="F70" s="426"/>
      <c r="G70" s="43"/>
      <c r="H70" s="426"/>
      <c r="I70" s="426"/>
      <c r="J70" s="43"/>
    </row>
    <row r="71" spans="1:10">
      <c r="A71" s="43"/>
      <c r="B71" s="43"/>
      <c r="C71" s="43"/>
      <c r="D71" s="43"/>
      <c r="E71" s="426"/>
      <c r="F71" s="426"/>
      <c r="G71" s="43"/>
      <c r="H71" s="426"/>
      <c r="I71" s="426"/>
      <c r="J71" s="43"/>
    </row>
    <row r="72" spans="1:10">
      <c r="A72" s="43"/>
      <c r="B72" s="43"/>
      <c r="C72" s="43"/>
      <c r="D72" s="43"/>
      <c r="E72" s="426"/>
      <c r="F72" s="426"/>
      <c r="G72" s="43"/>
      <c r="H72" s="426"/>
      <c r="I72" s="426"/>
      <c r="J72" s="43"/>
    </row>
    <row r="73" spans="1:10">
      <c r="A73" s="43"/>
      <c r="B73" s="43"/>
      <c r="C73" s="43"/>
      <c r="D73" s="43"/>
      <c r="E73" s="426"/>
      <c r="F73" s="426"/>
      <c r="G73" s="43"/>
      <c r="H73" s="426"/>
      <c r="I73" s="426"/>
      <c r="J73" s="43"/>
    </row>
    <row r="74" spans="1:10">
      <c r="A74" s="43"/>
      <c r="B74" s="43"/>
      <c r="C74" s="43"/>
      <c r="D74" s="43"/>
      <c r="E74" s="426"/>
      <c r="F74" s="426"/>
      <c r="G74" s="43"/>
      <c r="H74" s="426"/>
      <c r="I74" s="426"/>
      <c r="J74" s="43"/>
    </row>
    <row r="75" spans="1:10">
      <c r="A75" s="43"/>
      <c r="B75" s="43"/>
      <c r="C75" s="43"/>
      <c r="D75" s="43"/>
      <c r="E75" s="426"/>
      <c r="F75" s="426"/>
      <c r="G75" s="43"/>
      <c r="H75" s="426"/>
      <c r="I75" s="426"/>
      <c r="J75" s="43"/>
    </row>
    <row r="76" spans="1:10">
      <c r="A76" s="43"/>
      <c r="B76" s="43"/>
      <c r="C76" s="43"/>
      <c r="D76" s="43"/>
      <c r="E76" s="426"/>
      <c r="F76" s="426"/>
      <c r="G76" s="43"/>
      <c r="H76" s="426"/>
      <c r="I76" s="426"/>
      <c r="J76" s="43"/>
    </row>
    <row r="77" spans="1:10">
      <c r="A77" s="43"/>
      <c r="B77" s="59" t="s">
        <v>1537</v>
      </c>
      <c r="C77" s="43"/>
      <c r="D77" s="43"/>
      <c r="E77" s="43"/>
      <c r="F77" s="59" t="s">
        <v>1538</v>
      </c>
      <c r="G77" s="43"/>
      <c r="H77" s="426"/>
      <c r="I77" s="426"/>
      <c r="J77" s="43"/>
    </row>
    <row r="78" spans="1:10">
      <c r="A78" s="43"/>
      <c r="B78" s="43"/>
      <c r="C78" s="43"/>
      <c r="D78" s="43" t="s">
        <v>1471</v>
      </c>
      <c r="E78" s="43"/>
      <c r="F78" s="43" t="s">
        <v>1472</v>
      </c>
      <c r="G78" s="43"/>
      <c r="H78" s="426"/>
      <c r="I78" s="426"/>
      <c r="J78" s="43"/>
    </row>
    <row r="79" spans="1:10">
      <c r="A79" s="43"/>
      <c r="B79" s="43" t="s">
        <v>1539</v>
      </c>
      <c r="C79" s="43"/>
      <c r="D79" s="51">
        <v>316</v>
      </c>
      <c r="E79" s="43"/>
      <c r="F79" s="51">
        <v>112.7</v>
      </c>
      <c r="G79" s="43"/>
      <c r="H79" s="426"/>
      <c r="I79" s="426"/>
      <c r="J79" s="43"/>
    </row>
    <row r="80" spans="1:10">
      <c r="A80" s="43"/>
      <c r="B80" s="43" t="s">
        <v>1540</v>
      </c>
      <c r="C80" s="43"/>
      <c r="D80" s="51">
        <v>316</v>
      </c>
      <c r="E80" s="43"/>
      <c r="F80" s="51">
        <v>112.7</v>
      </c>
      <c r="G80" s="43"/>
      <c r="H80" s="426"/>
      <c r="I80" s="426"/>
      <c r="J80" s="43"/>
    </row>
    <row r="81" spans="1:10">
      <c r="A81" s="43"/>
      <c r="B81" s="43" t="s">
        <v>1541</v>
      </c>
      <c r="C81" s="43"/>
      <c r="D81" s="43"/>
      <c r="E81" s="426"/>
      <c r="F81" s="426"/>
      <c r="G81" s="43"/>
      <c r="H81" s="426"/>
      <c r="I81" s="426"/>
      <c r="J81" s="43"/>
    </row>
    <row r="82" spans="1:10">
      <c r="A82" s="43"/>
      <c r="B82" s="43" t="s">
        <v>1542</v>
      </c>
      <c r="C82" s="43"/>
      <c r="D82" s="43"/>
      <c r="E82" s="426"/>
      <c r="F82" s="426"/>
      <c r="G82" s="43"/>
      <c r="H82" s="426"/>
      <c r="I82" s="426"/>
      <c r="J82" s="43"/>
    </row>
    <row r="83" spans="1:10">
      <c r="A83" s="43"/>
      <c r="B83" s="43" t="s">
        <v>1543</v>
      </c>
      <c r="C83" s="43"/>
      <c r="D83" s="43"/>
      <c r="E83" s="426"/>
      <c r="F83" s="426"/>
      <c r="G83" s="43"/>
      <c r="H83" s="426"/>
      <c r="I83" s="426"/>
      <c r="J83" s="43"/>
    </row>
    <row r="84" spans="1:10">
      <c r="A84" s="43"/>
      <c r="B84" s="43"/>
      <c r="C84" s="43"/>
      <c r="D84" s="43"/>
      <c r="E84" s="426"/>
      <c r="F84" s="426"/>
    </row>
    <row r="85" spans="1:10">
      <c r="A85" s="43"/>
      <c r="B85" s="43"/>
      <c r="C85" s="43"/>
      <c r="D85" s="43"/>
      <c r="E85" s="426"/>
      <c r="F85" s="426"/>
    </row>
    <row r="86" spans="1:10">
      <c r="A86" s="43"/>
      <c r="B86" s="59" t="s">
        <v>1544</v>
      </c>
      <c r="C86" s="43"/>
      <c r="D86" s="43"/>
      <c r="E86" s="426"/>
      <c r="F86" s="426"/>
    </row>
    <row r="87" spans="1:10">
      <c r="A87" s="43"/>
      <c r="B87" s="43" t="s">
        <v>1545</v>
      </c>
      <c r="C87" s="43"/>
      <c r="D87" s="43"/>
      <c r="E87" s="426"/>
      <c r="F87" s="426"/>
    </row>
    <row r="88" spans="1:10">
      <c r="A88" s="43"/>
      <c r="B88" s="43" t="s">
        <v>1546</v>
      </c>
      <c r="C88" s="43"/>
      <c r="D88" s="43"/>
      <c r="E88" s="426"/>
      <c r="F88" s="426"/>
    </row>
  </sheetData>
  <sheetProtection sheet="1" objects="1" scenarios="1"/>
  <mergeCells count="72">
    <mergeCell ref="H60:I60"/>
    <mergeCell ref="M60:N60"/>
    <mergeCell ref="E1:F1"/>
    <mergeCell ref="H1:I1"/>
    <mergeCell ref="H2:I2"/>
    <mergeCell ref="M2:N2"/>
    <mergeCell ref="H19:I19"/>
    <mergeCell ref="M19:N19"/>
    <mergeCell ref="H27:I27"/>
    <mergeCell ref="M27:N27"/>
    <mergeCell ref="H35:I35"/>
    <mergeCell ref="M35:N35"/>
    <mergeCell ref="H3:I3"/>
    <mergeCell ref="M3:N3"/>
    <mergeCell ref="H6:I6"/>
    <mergeCell ref="M6:N6"/>
    <mergeCell ref="H13:I13"/>
    <mergeCell ref="M13:N13"/>
    <mergeCell ref="H38:I38"/>
    <mergeCell ref="M38:N38"/>
    <mergeCell ref="E36:F36"/>
    <mergeCell ref="H36:I36"/>
    <mergeCell ref="M36:N36"/>
    <mergeCell ref="E37:F37"/>
    <mergeCell ref="H37:I37"/>
    <mergeCell ref="M37:N37"/>
    <mergeCell ref="E62:F62"/>
    <mergeCell ref="H62:I62"/>
    <mergeCell ref="E63:F63"/>
    <mergeCell ref="H63:I63"/>
    <mergeCell ref="E61:F61"/>
    <mergeCell ref="H61:I61"/>
    <mergeCell ref="E66:F66"/>
    <mergeCell ref="H66:I66"/>
    <mergeCell ref="H67:I67"/>
    <mergeCell ref="E64:F64"/>
    <mergeCell ref="H64:I64"/>
    <mergeCell ref="E65:F65"/>
    <mergeCell ref="H65:I65"/>
    <mergeCell ref="E70:F70"/>
    <mergeCell ref="H70:I70"/>
    <mergeCell ref="E71:F71"/>
    <mergeCell ref="H71:I71"/>
    <mergeCell ref="E68:F68"/>
    <mergeCell ref="H68:I68"/>
    <mergeCell ref="E69:F69"/>
    <mergeCell ref="H69:I69"/>
    <mergeCell ref="E74:F74"/>
    <mergeCell ref="H74:I74"/>
    <mergeCell ref="E75:F75"/>
    <mergeCell ref="H75:I75"/>
    <mergeCell ref="E72:F72"/>
    <mergeCell ref="H72:I72"/>
    <mergeCell ref="E73:F73"/>
    <mergeCell ref="H73:I73"/>
    <mergeCell ref="H78:I78"/>
    <mergeCell ref="H79:I79"/>
    <mergeCell ref="E76:F76"/>
    <mergeCell ref="H76:I76"/>
    <mergeCell ref="H77:I77"/>
    <mergeCell ref="E82:F82"/>
    <mergeCell ref="H82:I82"/>
    <mergeCell ref="E83:F83"/>
    <mergeCell ref="H83:I83"/>
    <mergeCell ref="H80:I80"/>
    <mergeCell ref="E81:F81"/>
    <mergeCell ref="H81:I81"/>
    <mergeCell ref="E88:F88"/>
    <mergeCell ref="E86:F86"/>
    <mergeCell ref="E87:F87"/>
    <mergeCell ref="E84:F84"/>
    <mergeCell ref="E85:F8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97DD0-4B57-4B4D-844E-506EC85EA15D}">
  <dimension ref="A1:J52"/>
  <sheetViews>
    <sheetView workbookViewId="0">
      <selection activeCell="I56" sqref="I56"/>
    </sheetView>
  </sheetViews>
  <sheetFormatPr defaultRowHeight="15"/>
  <cols>
    <col min="1" max="1" width="16.140625" customWidth="1"/>
    <col min="3" max="3" width="58.28515625" bestFit="1" customWidth="1"/>
    <col min="7" max="7" width="14" bestFit="1" customWidth="1"/>
    <col min="9" max="9" width="16.28515625" customWidth="1"/>
    <col min="10" max="10" width="8.85546875" bestFit="1" customWidth="1"/>
  </cols>
  <sheetData>
    <row r="1" spans="1:10" ht="15.75" thickBot="1"/>
    <row r="2" spans="1:10">
      <c r="A2" s="62" t="s">
        <v>1547</v>
      </c>
      <c r="B2" s="63"/>
      <c r="C2" s="63"/>
      <c r="D2" s="64"/>
      <c r="F2" s="62"/>
      <c r="G2" s="65">
        <v>45813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1548</v>
      </c>
      <c r="D4" s="68"/>
      <c r="F4" s="69"/>
      <c r="G4" s="70" t="s">
        <v>1466</v>
      </c>
      <c r="H4" s="70"/>
      <c r="I4" t="s">
        <v>1466</v>
      </c>
      <c r="J4" s="68"/>
    </row>
    <row r="5" spans="1:10">
      <c r="A5" s="67" t="s">
        <v>1467</v>
      </c>
      <c r="B5" t="s">
        <v>1468</v>
      </c>
      <c r="C5" t="s">
        <v>1469</v>
      </c>
      <c r="D5" s="68" t="s">
        <v>1470</v>
      </c>
      <c r="F5" s="69" t="s">
        <v>1471</v>
      </c>
      <c r="G5" s="70" t="s">
        <v>1472</v>
      </c>
      <c r="H5" s="70"/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1549</v>
      </c>
      <c r="D7" s="68"/>
      <c r="F7" s="69"/>
      <c r="G7" s="70"/>
      <c r="H7" s="70"/>
      <c r="I7" t="s">
        <v>1473</v>
      </c>
      <c r="J7" s="68"/>
    </row>
    <row r="8" spans="1:10">
      <c r="A8" s="67">
        <v>6287262</v>
      </c>
      <c r="C8" t="s">
        <v>1550</v>
      </c>
      <c r="D8" s="68" t="s">
        <v>1551</v>
      </c>
      <c r="F8" s="69">
        <v>169.97</v>
      </c>
      <c r="G8" s="70">
        <v>46.23</v>
      </c>
      <c r="H8" s="70"/>
      <c r="I8" s="70">
        <f>G8/3</f>
        <v>15.409999999999998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C10" t="s">
        <v>1552</v>
      </c>
      <c r="D10" s="68"/>
      <c r="F10" s="69"/>
      <c r="G10" s="70"/>
      <c r="H10" s="70"/>
      <c r="I10" s="70" t="s">
        <v>1553</v>
      </c>
      <c r="J10" s="68"/>
    </row>
    <row r="11" spans="1:10">
      <c r="A11" s="67">
        <v>4257465</v>
      </c>
      <c r="C11" t="s">
        <v>1554</v>
      </c>
      <c r="D11" s="68" t="s">
        <v>1555</v>
      </c>
      <c r="F11" s="69">
        <v>4.5</v>
      </c>
      <c r="G11" s="70">
        <v>1.22</v>
      </c>
      <c r="H11" s="70"/>
      <c r="I11" s="70">
        <f>G11*2</f>
        <v>2.44</v>
      </c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C13" t="s">
        <v>1556</v>
      </c>
      <c r="D13" s="68"/>
      <c r="F13" s="69"/>
      <c r="G13" s="70"/>
      <c r="H13" s="70"/>
      <c r="I13" t="s">
        <v>1473</v>
      </c>
      <c r="J13" s="68"/>
    </row>
    <row r="14" spans="1:10">
      <c r="A14" s="67">
        <v>4499489</v>
      </c>
      <c r="C14" t="s">
        <v>1557</v>
      </c>
      <c r="D14" s="68" t="s">
        <v>1558</v>
      </c>
      <c r="F14" s="69">
        <v>70.349999999999994</v>
      </c>
      <c r="G14" s="70">
        <v>19.14</v>
      </c>
      <c r="H14" s="70"/>
      <c r="I14" s="70">
        <f>G14/2</f>
        <v>9.57</v>
      </c>
      <c r="J14" s="68"/>
    </row>
    <row r="15" spans="1:10">
      <c r="A15" s="67"/>
      <c r="D15" s="68"/>
      <c r="F15" s="69"/>
      <c r="G15" s="70"/>
      <c r="H15" s="70"/>
      <c r="I15" s="70"/>
      <c r="J15" s="68"/>
    </row>
    <row r="16" spans="1:10">
      <c r="A16" s="67"/>
      <c r="C16" t="s">
        <v>1559</v>
      </c>
      <c r="D16" s="68"/>
      <c r="F16" s="69"/>
      <c r="G16" s="70"/>
      <c r="H16" s="70"/>
      <c r="I16" s="70" t="s">
        <v>1481</v>
      </c>
      <c r="J16" s="68"/>
    </row>
    <row r="17" spans="1:10">
      <c r="A17" s="67">
        <v>4258562</v>
      </c>
      <c r="C17" t="s">
        <v>1560</v>
      </c>
      <c r="D17" s="68" t="s">
        <v>1558</v>
      </c>
      <c r="F17" s="69">
        <v>27.35</v>
      </c>
      <c r="G17" s="70">
        <v>7.99</v>
      </c>
      <c r="H17" s="70"/>
      <c r="I17">
        <v>7.99</v>
      </c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C19" t="s">
        <v>1561</v>
      </c>
      <c r="D19" s="68"/>
      <c r="F19" s="69"/>
      <c r="G19" s="70"/>
      <c r="H19" s="70"/>
      <c r="I19" t="s">
        <v>1481</v>
      </c>
      <c r="J19" s="68"/>
    </row>
    <row r="20" spans="1:10">
      <c r="A20" s="67">
        <v>6288879</v>
      </c>
      <c r="C20" t="s">
        <v>1562</v>
      </c>
      <c r="D20" s="68" t="s">
        <v>1558</v>
      </c>
      <c r="F20" s="69">
        <v>84.13</v>
      </c>
      <c r="G20" s="70">
        <v>22.88</v>
      </c>
      <c r="H20" s="70"/>
      <c r="I20">
        <v>22.88</v>
      </c>
      <c r="J20" s="68"/>
    </row>
    <row r="21" spans="1:10">
      <c r="A21" s="67"/>
      <c r="D21" s="68"/>
      <c r="F21" s="69"/>
      <c r="G21" s="70"/>
      <c r="H21" s="70"/>
      <c r="I21" s="70"/>
      <c r="J21" s="68"/>
    </row>
    <row r="22" spans="1:10">
      <c r="A22" s="67"/>
      <c r="C22" t="s">
        <v>1563</v>
      </c>
      <c r="D22" s="68"/>
      <c r="F22" s="69"/>
      <c r="G22" s="70"/>
      <c r="H22" s="70"/>
      <c r="I22" s="70" t="s">
        <v>1481</v>
      </c>
      <c r="J22" s="68"/>
    </row>
    <row r="23" spans="1:10">
      <c r="A23" s="67">
        <v>6289922</v>
      </c>
      <c r="C23" t="s">
        <v>1564</v>
      </c>
      <c r="D23" s="68" t="s">
        <v>1558</v>
      </c>
      <c r="F23" s="69">
        <v>63.78</v>
      </c>
      <c r="G23" s="70">
        <v>17.350000000000001</v>
      </c>
      <c r="H23" s="70"/>
      <c r="I23">
        <v>17.350000000000001</v>
      </c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D25" s="68"/>
      <c r="F25" s="69"/>
      <c r="G25" s="70"/>
      <c r="H25" s="70"/>
      <c r="I25" s="70"/>
      <c r="J25" s="68"/>
    </row>
    <row r="26" spans="1:10">
      <c r="A26" s="67"/>
      <c r="D26" s="68"/>
      <c r="F26" s="69"/>
      <c r="G26" s="70"/>
      <c r="H26" s="70"/>
      <c r="I26" s="70"/>
      <c r="J26" s="68"/>
    </row>
    <row r="27" spans="1:10">
      <c r="A27" s="67"/>
      <c r="D27" s="68"/>
      <c r="F27" s="69"/>
      <c r="G27" s="70"/>
      <c r="H27" s="70"/>
      <c r="I27" s="70"/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D29" s="68"/>
      <c r="F29" s="69"/>
      <c r="G29" s="70"/>
      <c r="H29" s="70"/>
      <c r="I29" s="70"/>
      <c r="J29" s="68"/>
    </row>
    <row r="30" spans="1:10">
      <c r="A30" s="67"/>
      <c r="D30" s="68"/>
      <c r="F30" s="69"/>
      <c r="G30" s="70"/>
      <c r="H30" s="70"/>
      <c r="I30" s="70"/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D32" s="68"/>
      <c r="F32" s="69"/>
      <c r="G32" s="70"/>
      <c r="H32" s="70"/>
      <c r="I32" s="70"/>
      <c r="J32" s="68"/>
    </row>
    <row r="33" spans="1:10">
      <c r="A33" s="67"/>
      <c r="D33" s="68"/>
      <c r="F33" s="69"/>
      <c r="G33" s="70"/>
      <c r="H33" s="70"/>
      <c r="I33" s="70"/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D35" s="68"/>
      <c r="F35" s="69"/>
      <c r="G35" s="70"/>
      <c r="H35" s="70"/>
      <c r="I35" s="70"/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.7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.75" thickBot="1"/>
    <row r="41" spans="1:10">
      <c r="A41" s="62"/>
      <c r="B41" s="76" t="s">
        <v>1565</v>
      </c>
      <c r="C41" s="63"/>
      <c r="D41" s="64"/>
      <c r="F41" s="77" t="s">
        <v>1566</v>
      </c>
      <c r="G41" s="78"/>
      <c r="H41" s="78"/>
      <c r="I41" s="63"/>
      <c r="J41" s="64"/>
    </row>
    <row r="42" spans="1:10">
      <c r="A42" s="67"/>
      <c r="D42" s="68"/>
      <c r="F42" s="69" t="s">
        <v>1567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1568</v>
      </c>
      <c r="D44" s="68"/>
      <c r="F44" s="69">
        <f>I8+I14</f>
        <v>24.979999999999997</v>
      </c>
      <c r="G44" s="70">
        <f>I17/2</f>
        <v>3.9950000000000001</v>
      </c>
      <c r="H44" s="70">
        <f>I11/3</f>
        <v>0.81333333333333335</v>
      </c>
      <c r="I44" s="70">
        <f>(I20+I23)/6</f>
        <v>6.705000000000001</v>
      </c>
      <c r="J44" s="80">
        <f>F44+G44+H44+I44</f>
        <v>36.493333333333332</v>
      </c>
    </row>
    <row r="45" spans="1:10" ht="15.7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1569</v>
      </c>
    </row>
    <row r="52" spans="2:2">
      <c r="B52" t="s">
        <v>1570</v>
      </c>
    </row>
  </sheetData>
  <sheetProtection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0A8FF-B9A6-4AC7-B78E-42550EBE4582}">
  <dimension ref="A1:J52"/>
  <sheetViews>
    <sheetView workbookViewId="0">
      <selection activeCell="C57" sqref="C57"/>
    </sheetView>
  </sheetViews>
  <sheetFormatPr defaultRowHeight="15"/>
  <cols>
    <col min="1" max="1" width="16.140625" customWidth="1"/>
    <col min="3" max="3" width="58.28515625" bestFit="1" customWidth="1"/>
    <col min="7" max="7" width="14" bestFit="1" customWidth="1"/>
    <col min="9" max="9" width="16.28515625" customWidth="1"/>
  </cols>
  <sheetData>
    <row r="1" spans="1:10" ht="15.75" thickBot="1"/>
    <row r="2" spans="1:10">
      <c r="A2" s="62" t="s">
        <v>1571</v>
      </c>
      <c r="B2" s="63"/>
      <c r="C2" s="63"/>
      <c r="D2" s="64"/>
      <c r="F2" s="62"/>
      <c r="G2" s="65">
        <v>45811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1548</v>
      </c>
      <c r="D4" s="68"/>
      <c r="F4" s="69"/>
      <c r="G4" s="70" t="s">
        <v>1466</v>
      </c>
      <c r="H4" s="70"/>
      <c r="I4" t="s">
        <v>1466</v>
      </c>
      <c r="J4" s="68"/>
    </row>
    <row r="5" spans="1:10">
      <c r="A5" s="67" t="s">
        <v>1467</v>
      </c>
      <c r="B5" t="s">
        <v>1468</v>
      </c>
      <c r="C5" t="s">
        <v>1469</v>
      </c>
      <c r="D5" s="68" t="s">
        <v>1470</v>
      </c>
      <c r="F5" s="69" t="s">
        <v>1471</v>
      </c>
      <c r="G5" s="70" t="s">
        <v>1472</v>
      </c>
      <c r="H5" s="70"/>
      <c r="I5" t="s">
        <v>1473</v>
      </c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1572</v>
      </c>
      <c r="D7" s="68"/>
      <c r="F7" s="69"/>
      <c r="G7" s="70"/>
      <c r="H7" s="70"/>
      <c r="I7" s="70"/>
      <c r="J7" s="68"/>
    </row>
    <row r="8" spans="1:10">
      <c r="A8" s="67">
        <v>3008620</v>
      </c>
      <c r="C8" t="s">
        <v>1573</v>
      </c>
      <c r="D8" s="68" t="s">
        <v>1574</v>
      </c>
      <c r="F8" s="69">
        <v>25.48</v>
      </c>
      <c r="G8" s="70">
        <v>7.39</v>
      </c>
      <c r="H8" s="70"/>
      <c r="I8" s="70">
        <f>G8/4</f>
        <v>1.8474999999999999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D10" s="68"/>
      <c r="F10" s="69"/>
      <c r="G10" s="70"/>
      <c r="H10" s="70"/>
      <c r="I10" s="70"/>
      <c r="J10" s="68"/>
    </row>
    <row r="11" spans="1:10">
      <c r="A11" s="67"/>
      <c r="D11" s="68"/>
      <c r="F11" s="69"/>
      <c r="G11" s="70"/>
      <c r="H11" s="70"/>
      <c r="I11" s="70"/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D13" s="68"/>
      <c r="F13" s="69"/>
      <c r="G13" s="70"/>
      <c r="H13" s="70"/>
      <c r="J13" s="68"/>
    </row>
    <row r="14" spans="1:10">
      <c r="A14" s="67"/>
      <c r="C14" t="s">
        <v>1575</v>
      </c>
      <c r="D14" s="68"/>
      <c r="F14" s="69"/>
      <c r="G14" s="70"/>
      <c r="H14" s="70"/>
      <c r="I14" t="s">
        <v>1481</v>
      </c>
      <c r="J14" s="68"/>
    </row>
    <row r="15" spans="1:10">
      <c r="A15" s="67">
        <v>8508159</v>
      </c>
      <c r="C15" t="s">
        <v>1576</v>
      </c>
      <c r="D15" s="68" t="s">
        <v>1558</v>
      </c>
      <c r="F15" s="69">
        <v>2.6</v>
      </c>
      <c r="G15" s="70">
        <v>1.3</v>
      </c>
      <c r="H15" s="70"/>
      <c r="I15" s="70">
        <f>G15</f>
        <v>1.3</v>
      </c>
      <c r="J15" s="68"/>
    </row>
    <row r="16" spans="1:10">
      <c r="A16" s="67"/>
      <c r="D16" s="68"/>
      <c r="F16" s="69"/>
      <c r="G16" s="70"/>
      <c r="H16" s="70"/>
      <c r="I16" s="70"/>
      <c r="J16" s="68"/>
    </row>
    <row r="17" spans="1:10">
      <c r="A17" s="67"/>
      <c r="D17" s="68"/>
      <c r="F17" s="69"/>
      <c r="G17" s="70"/>
      <c r="H17" s="70"/>
      <c r="I17" s="70"/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D19" s="68"/>
      <c r="F19" s="69"/>
      <c r="G19" s="70"/>
      <c r="H19" s="70"/>
      <c r="J19" s="68"/>
    </row>
    <row r="20" spans="1:10">
      <c r="A20" s="67"/>
      <c r="C20" t="s">
        <v>1577</v>
      </c>
      <c r="D20" s="68"/>
      <c r="F20" s="69"/>
      <c r="G20" s="70"/>
      <c r="H20" s="70"/>
      <c r="I20" t="s">
        <v>1481</v>
      </c>
      <c r="J20" s="68"/>
    </row>
    <row r="21" spans="1:10">
      <c r="A21" s="67">
        <v>6922975</v>
      </c>
      <c r="C21" t="s">
        <v>1578</v>
      </c>
      <c r="D21" s="68" t="s">
        <v>1558</v>
      </c>
      <c r="F21" s="69">
        <v>1.02</v>
      </c>
      <c r="G21" s="70">
        <v>0.32</v>
      </c>
      <c r="H21" s="70"/>
      <c r="I21" s="70">
        <f>G21</f>
        <v>0.32</v>
      </c>
      <c r="J21" s="68"/>
    </row>
    <row r="22" spans="1:10">
      <c r="A22" s="67"/>
      <c r="D22" s="68"/>
      <c r="F22" s="69"/>
      <c r="G22" s="70"/>
      <c r="H22" s="70"/>
      <c r="I22" s="70"/>
      <c r="J22" s="68"/>
    </row>
    <row r="23" spans="1:10">
      <c r="A23" s="67"/>
      <c r="D23" s="68"/>
      <c r="F23" s="69"/>
      <c r="G23" s="70"/>
      <c r="H23" s="70"/>
      <c r="I23" s="70"/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C25" t="s">
        <v>1579</v>
      </c>
      <c r="D25" s="68"/>
      <c r="F25" s="69"/>
      <c r="G25" s="70"/>
      <c r="H25" s="70"/>
      <c r="I25" s="70"/>
      <c r="J25" s="68"/>
    </row>
    <row r="26" spans="1:10">
      <c r="A26" s="67"/>
      <c r="C26" t="s">
        <v>1580</v>
      </c>
      <c r="D26" s="68"/>
      <c r="F26" s="69"/>
      <c r="G26" s="70"/>
      <c r="H26" s="70"/>
      <c r="I26" s="70" t="s">
        <v>1481</v>
      </c>
      <c r="J26" s="68"/>
    </row>
    <row r="27" spans="1:10">
      <c r="A27" s="67">
        <v>6923064</v>
      </c>
      <c r="C27" t="s">
        <v>1581</v>
      </c>
      <c r="D27" s="68" t="s">
        <v>1558</v>
      </c>
      <c r="F27" s="69">
        <v>2.33</v>
      </c>
      <c r="G27" s="70">
        <v>0.72</v>
      </c>
      <c r="H27" s="70"/>
      <c r="I27" s="70">
        <f>G27</f>
        <v>0.72</v>
      </c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C29" t="s">
        <v>1582</v>
      </c>
      <c r="D29" s="68"/>
      <c r="F29" s="69"/>
      <c r="G29" s="70"/>
      <c r="H29" s="70"/>
      <c r="I29" s="70"/>
      <c r="J29" s="68"/>
    </row>
    <row r="30" spans="1:10">
      <c r="A30" s="67">
        <v>6923122</v>
      </c>
      <c r="C30" t="s">
        <v>1583</v>
      </c>
      <c r="D30" s="68" t="s">
        <v>1558</v>
      </c>
      <c r="F30" s="69">
        <v>2.41</v>
      </c>
      <c r="G30" s="70">
        <v>0.75</v>
      </c>
      <c r="H30" s="70"/>
      <c r="I30" s="70">
        <f>G30</f>
        <v>0.75</v>
      </c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C32" t="s">
        <v>1584</v>
      </c>
      <c r="D32" s="68"/>
      <c r="F32" s="69"/>
      <c r="G32" s="70"/>
      <c r="H32" s="70"/>
      <c r="I32" s="70"/>
      <c r="J32" s="68"/>
    </row>
    <row r="33" spans="1:10">
      <c r="A33" s="67">
        <v>6923155</v>
      </c>
      <c r="C33" t="s">
        <v>1585</v>
      </c>
      <c r="D33" s="68" t="s">
        <v>1558</v>
      </c>
      <c r="F33" s="69">
        <v>4.88</v>
      </c>
      <c r="G33" s="70">
        <v>1.55</v>
      </c>
      <c r="H33" s="70"/>
      <c r="I33" s="70">
        <f>G33</f>
        <v>1.55</v>
      </c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C35" s="81" t="s">
        <v>1586</v>
      </c>
      <c r="D35" s="68"/>
      <c r="F35" s="69"/>
      <c r="G35" s="70"/>
      <c r="H35" s="70"/>
      <c r="I35" s="82">
        <f>AVERAGE(I27,I30,I33)</f>
        <v>1.0066666666666666</v>
      </c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.7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.75" thickBot="1"/>
    <row r="41" spans="1:10">
      <c r="A41" s="62"/>
      <c r="B41" s="76" t="s">
        <v>1587</v>
      </c>
      <c r="C41" s="63"/>
      <c r="D41" s="64"/>
      <c r="F41" s="77" t="s">
        <v>1588</v>
      </c>
      <c r="G41" s="78"/>
      <c r="H41" s="78"/>
      <c r="I41" s="63"/>
      <c r="J41" s="64"/>
    </row>
    <row r="42" spans="1:10">
      <c r="A42" s="67"/>
      <c r="D42" s="68"/>
      <c r="F42" s="69" t="s">
        <v>1589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1590</v>
      </c>
      <c r="D44" s="68"/>
      <c r="F44" s="69">
        <f>I8</f>
        <v>1.8474999999999999</v>
      </c>
      <c r="G44" s="70">
        <f>I15/2</f>
        <v>0.65</v>
      </c>
      <c r="H44" s="70">
        <f>I21/4</f>
        <v>0.08</v>
      </c>
      <c r="I44" s="70">
        <f>I35/4</f>
        <v>0.25166666666666665</v>
      </c>
      <c r="J44" s="80">
        <f>F44+G44+H44+I44</f>
        <v>2.8291666666666666</v>
      </c>
    </row>
    <row r="45" spans="1:10" ht="15.7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1569</v>
      </c>
    </row>
    <row r="50" spans="2:2">
      <c r="B50" t="s">
        <v>1591</v>
      </c>
    </row>
    <row r="52" spans="2:2">
      <c r="B52" t="s">
        <v>1570</v>
      </c>
    </row>
  </sheetData>
  <sheetProtection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5CA6-7204-45FD-89DC-87CAF98F530C}">
  <dimension ref="A1:J52"/>
  <sheetViews>
    <sheetView workbookViewId="0">
      <selection activeCell="C51" sqref="C51"/>
    </sheetView>
  </sheetViews>
  <sheetFormatPr defaultRowHeight="15"/>
  <cols>
    <col min="1" max="1" width="14.140625" customWidth="1"/>
    <col min="3" max="3" width="51.140625" bestFit="1" customWidth="1"/>
    <col min="7" max="7" width="11.5703125" customWidth="1"/>
    <col min="9" max="9" width="14.28515625" customWidth="1"/>
  </cols>
  <sheetData>
    <row r="1" spans="1:10" ht="15.75" thickBot="1"/>
    <row r="2" spans="1:10">
      <c r="A2" s="62" t="s">
        <v>1635</v>
      </c>
      <c r="B2" s="63"/>
      <c r="C2" s="63"/>
      <c r="D2" s="64"/>
      <c r="F2" s="62"/>
      <c r="G2" s="65">
        <v>45852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1548</v>
      </c>
      <c r="D4" s="68"/>
      <c r="F4" s="69"/>
      <c r="G4" s="70" t="s">
        <v>1466</v>
      </c>
      <c r="H4" s="70"/>
      <c r="I4" t="s">
        <v>1466</v>
      </c>
      <c r="J4" s="68"/>
    </row>
    <row r="5" spans="1:10">
      <c r="A5" s="67" t="s">
        <v>1467</v>
      </c>
      <c r="B5" t="s">
        <v>1468</v>
      </c>
      <c r="C5" t="s">
        <v>1469</v>
      </c>
      <c r="D5" s="68" t="s">
        <v>1470</v>
      </c>
      <c r="F5" s="69" t="s">
        <v>1471</v>
      </c>
      <c r="G5" s="70" t="s">
        <v>1472</v>
      </c>
      <c r="H5" s="70"/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1636</v>
      </c>
      <c r="D7" s="68"/>
      <c r="F7" s="69"/>
      <c r="G7" s="70"/>
      <c r="H7" s="70"/>
      <c r="I7" t="s">
        <v>1473</v>
      </c>
      <c r="J7" s="68"/>
    </row>
    <row r="8" spans="1:10">
      <c r="A8" s="67">
        <v>1671742</v>
      </c>
      <c r="C8" t="s">
        <v>1637</v>
      </c>
      <c r="D8" s="68" t="s">
        <v>1638</v>
      </c>
      <c r="F8" s="69">
        <v>123.05</v>
      </c>
      <c r="G8" s="70">
        <v>46.76</v>
      </c>
      <c r="H8" s="70"/>
      <c r="I8" s="70">
        <f>G8/5</f>
        <v>9.3520000000000003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C10" t="s">
        <v>1639</v>
      </c>
      <c r="D10" s="68"/>
      <c r="F10" s="69"/>
      <c r="G10" s="70"/>
      <c r="H10" s="70"/>
      <c r="I10" s="70" t="s">
        <v>1481</v>
      </c>
      <c r="J10" s="68"/>
    </row>
    <row r="11" spans="1:10">
      <c r="A11" s="67">
        <v>1755701</v>
      </c>
      <c r="C11" t="s">
        <v>1640</v>
      </c>
      <c r="D11" s="68" t="s">
        <v>1558</v>
      </c>
      <c r="F11" s="69">
        <v>10.6</v>
      </c>
      <c r="G11" s="70">
        <v>4.03</v>
      </c>
      <c r="H11" s="70"/>
      <c r="I11" s="70">
        <f>G11</f>
        <v>4.03</v>
      </c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C13" t="s">
        <v>1641</v>
      </c>
      <c r="D13" s="68"/>
      <c r="F13" s="69"/>
      <c r="G13" s="70"/>
      <c r="H13" s="70"/>
      <c r="I13" t="s">
        <v>1481</v>
      </c>
      <c r="J13" s="68"/>
    </row>
    <row r="14" spans="1:10">
      <c r="A14" s="67">
        <v>1752765</v>
      </c>
      <c r="C14" t="s">
        <v>1642</v>
      </c>
      <c r="D14" s="68" t="s">
        <v>1558</v>
      </c>
      <c r="F14" s="69">
        <v>16.350000000000001</v>
      </c>
      <c r="G14" s="70">
        <v>6.21</v>
      </c>
      <c r="H14" s="70"/>
      <c r="I14" s="70">
        <f>G14</f>
        <v>6.21</v>
      </c>
      <c r="J14" s="68"/>
    </row>
    <row r="15" spans="1:10">
      <c r="A15" s="67"/>
      <c r="D15" s="68"/>
      <c r="F15" s="69"/>
      <c r="G15" s="70"/>
      <c r="H15" s="70"/>
      <c r="I15" s="70"/>
      <c r="J15" s="68"/>
    </row>
    <row r="16" spans="1:10">
      <c r="A16" s="67"/>
      <c r="C16" t="s">
        <v>1643</v>
      </c>
      <c r="D16" s="68"/>
      <c r="F16" s="69"/>
      <c r="G16" s="70"/>
      <c r="H16" s="70"/>
      <c r="I16" s="70" t="s">
        <v>1481</v>
      </c>
      <c r="J16" s="68"/>
    </row>
    <row r="17" spans="1:10">
      <c r="A17" s="67">
        <v>9896699</v>
      </c>
      <c r="C17" t="s">
        <v>1644</v>
      </c>
      <c r="D17" s="68" t="s">
        <v>1645</v>
      </c>
      <c r="F17" s="69">
        <v>9.8699999999999992</v>
      </c>
      <c r="G17" s="70">
        <v>4.9400000000000004</v>
      </c>
      <c r="H17" s="70"/>
      <c r="I17" s="70">
        <f>G17</f>
        <v>4.9400000000000004</v>
      </c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D19" s="68"/>
      <c r="F19" s="69"/>
      <c r="G19" s="70"/>
      <c r="H19" s="70"/>
      <c r="J19" s="68"/>
    </row>
    <row r="20" spans="1:10">
      <c r="A20" s="67" t="s">
        <v>1646</v>
      </c>
      <c r="D20" s="68"/>
      <c r="F20" s="69"/>
      <c r="G20" s="70"/>
      <c r="H20" s="70"/>
      <c r="J20" s="68"/>
    </row>
    <row r="21" spans="1:10">
      <c r="A21" s="67"/>
      <c r="D21" s="68"/>
      <c r="F21" s="69"/>
      <c r="G21" s="70"/>
      <c r="H21" s="70"/>
      <c r="I21" s="70"/>
      <c r="J21" s="68"/>
    </row>
    <row r="22" spans="1:10">
      <c r="A22" s="67"/>
      <c r="C22" t="s">
        <v>1647</v>
      </c>
      <c r="D22" s="68"/>
      <c r="F22" s="69"/>
      <c r="G22" s="70"/>
      <c r="H22" s="70"/>
      <c r="I22" s="70" t="s">
        <v>1481</v>
      </c>
      <c r="J22" s="68"/>
    </row>
    <row r="23" spans="1:10">
      <c r="A23" s="67"/>
      <c r="C23" t="s">
        <v>1648</v>
      </c>
      <c r="D23" s="68" t="s">
        <v>1558</v>
      </c>
      <c r="F23" s="69" t="s">
        <v>1649</v>
      </c>
      <c r="G23" s="70">
        <v>4.4000000000000004</v>
      </c>
      <c r="H23" s="70"/>
      <c r="I23" s="70">
        <f>G23</f>
        <v>4.4000000000000004</v>
      </c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D25" s="68"/>
      <c r="F25" s="69"/>
      <c r="G25" s="70"/>
      <c r="H25" s="70"/>
      <c r="I25" s="70"/>
      <c r="J25" s="68"/>
    </row>
    <row r="26" spans="1:10">
      <c r="A26" s="67"/>
      <c r="D26" s="68"/>
      <c r="F26" s="69"/>
      <c r="G26" s="70"/>
      <c r="H26" s="70"/>
      <c r="I26" s="70"/>
      <c r="J26" s="68"/>
    </row>
    <row r="27" spans="1:10">
      <c r="A27" s="67"/>
      <c r="D27" s="68"/>
      <c r="F27" s="69"/>
      <c r="G27" s="70"/>
      <c r="H27" s="70"/>
      <c r="I27" s="70"/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D29" s="68"/>
      <c r="F29" s="69"/>
      <c r="G29" s="70"/>
      <c r="H29" s="70"/>
      <c r="I29" s="70"/>
      <c r="J29" s="68"/>
    </row>
    <row r="30" spans="1:10">
      <c r="A30" s="67"/>
      <c r="D30" s="68"/>
      <c r="F30" s="69"/>
      <c r="G30" s="70"/>
      <c r="H30" s="70"/>
      <c r="I30" s="70"/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D32" s="68"/>
      <c r="F32" s="69"/>
      <c r="G32" s="70"/>
      <c r="H32" s="70"/>
      <c r="I32" s="70"/>
      <c r="J32" s="68"/>
    </row>
    <row r="33" spans="1:10">
      <c r="A33" s="67"/>
      <c r="D33" s="68"/>
      <c r="F33" s="69"/>
      <c r="G33" s="70"/>
      <c r="H33" s="70"/>
      <c r="I33" s="70"/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D35" s="68"/>
      <c r="F35" s="69"/>
      <c r="G35" s="70"/>
      <c r="H35" s="70"/>
      <c r="I35" s="70"/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.7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.75" thickBot="1"/>
    <row r="41" spans="1:10">
      <c r="A41" s="62"/>
      <c r="B41" s="76" t="s">
        <v>1650</v>
      </c>
      <c r="C41" s="63"/>
      <c r="D41" s="64"/>
      <c r="F41" s="77" t="s">
        <v>1651</v>
      </c>
      <c r="G41" s="78"/>
      <c r="H41" s="78"/>
      <c r="I41" s="63"/>
      <c r="J41" s="64"/>
    </row>
    <row r="42" spans="1:10">
      <c r="A42" s="67"/>
      <c r="D42" s="68"/>
      <c r="F42" s="69" t="s">
        <v>1652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1653</v>
      </c>
      <c r="D44" s="68"/>
      <c r="F44" s="69">
        <f>I8</f>
        <v>9.3520000000000003</v>
      </c>
      <c r="G44" s="70">
        <f>I17/2</f>
        <v>2.4700000000000002</v>
      </c>
      <c r="H44" s="70">
        <f>I11/5</f>
        <v>0.80600000000000005</v>
      </c>
      <c r="I44" s="70">
        <f>I14/5</f>
        <v>1.242</v>
      </c>
      <c r="J44" s="80">
        <f>F44+G44+H44+I44</f>
        <v>13.870000000000001</v>
      </c>
    </row>
    <row r="45" spans="1:10" ht="15.7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1569</v>
      </c>
    </row>
    <row r="52" spans="2:2">
      <c r="B52" t="s">
        <v>1570</v>
      </c>
    </row>
  </sheetData>
  <sheetProtection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B2CFE-4527-4B4C-8EF0-46B948D70468}">
  <sheetPr>
    <tabColor rgb="FFFF0000"/>
  </sheetPr>
  <dimension ref="A1:B14"/>
  <sheetViews>
    <sheetView workbookViewId="0">
      <selection activeCell="E8" sqref="E8"/>
    </sheetView>
  </sheetViews>
  <sheetFormatPr defaultRowHeight="15"/>
  <cols>
    <col min="1" max="1" width="14.42578125" bestFit="1" customWidth="1"/>
    <col min="2" max="2" width="23.5703125" bestFit="1" customWidth="1"/>
  </cols>
  <sheetData>
    <row r="1" spans="1:2">
      <c r="A1" s="2" t="s">
        <v>1592</v>
      </c>
      <c r="B1" s="2" t="s">
        <v>1593</v>
      </c>
    </row>
    <row r="2" spans="1:2">
      <c r="A2" t="s">
        <v>304</v>
      </c>
      <c r="B2" s="1">
        <v>0</v>
      </c>
    </row>
    <row r="3" spans="1:2">
      <c r="A3" t="s">
        <v>1594</v>
      </c>
      <c r="B3" s="1">
        <v>8</v>
      </c>
    </row>
    <row r="4" spans="1:2">
      <c r="A4" t="s">
        <v>1595</v>
      </c>
      <c r="B4" s="1">
        <v>6.9</v>
      </c>
    </row>
    <row r="5" spans="1:2">
      <c r="A5" t="s">
        <v>1596</v>
      </c>
      <c r="B5" s="1">
        <v>6.7</v>
      </c>
    </row>
    <row r="6" spans="1:2">
      <c r="A6" t="s">
        <v>1597</v>
      </c>
      <c r="B6" s="1">
        <v>3.7</v>
      </c>
    </row>
    <row r="7" spans="1:2">
      <c r="A7" t="s">
        <v>1598</v>
      </c>
      <c r="B7" s="1">
        <v>3.2</v>
      </c>
    </row>
    <row r="8" spans="1:2">
      <c r="A8" t="s">
        <v>1599</v>
      </c>
      <c r="B8" s="1">
        <v>2.1</v>
      </c>
    </row>
    <row r="9" spans="1:2">
      <c r="A9" t="s">
        <v>1600</v>
      </c>
      <c r="B9" s="1">
        <v>2.7</v>
      </c>
    </row>
    <row r="10" spans="1:2">
      <c r="A10" t="s">
        <v>1601</v>
      </c>
      <c r="B10" s="1">
        <v>2.7</v>
      </c>
    </row>
    <row r="11" spans="1:2">
      <c r="A11" t="s">
        <v>1602</v>
      </c>
      <c r="B11" s="1">
        <v>3.1</v>
      </c>
    </row>
    <row r="12" spans="1:2">
      <c r="A12" t="s">
        <v>1603</v>
      </c>
      <c r="B12" s="1">
        <v>2.7</v>
      </c>
    </row>
    <row r="13" spans="1:2">
      <c r="A13" t="s">
        <v>1604</v>
      </c>
      <c r="B13" s="1">
        <v>2.7</v>
      </c>
    </row>
    <row r="14" spans="1:2">
      <c r="A14" t="s">
        <v>1605</v>
      </c>
      <c r="B14" s="1">
        <v>2.7</v>
      </c>
    </row>
  </sheetData>
  <sheetProtection sheet="1" objects="1" scenarios="1"/>
  <pageMargins left="0.7" right="0.7" top="0.75" bottom="0.75" header="0.3" footer="0.3"/>
  <headerFooter>
    <oddFooter>&amp;C_x000D_&amp;1#&amp;"Calibri"&amp;10&amp;KFFFF00 C1-Intern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9F362-A244-4D53-8315-E46F0C2AE130}">
  <sheetPr>
    <tabColor rgb="FFFF0000"/>
  </sheetPr>
  <dimension ref="A1:E18"/>
  <sheetViews>
    <sheetView workbookViewId="0"/>
  </sheetViews>
  <sheetFormatPr defaultRowHeight="15"/>
  <cols>
    <col min="1" max="1" width="36.85546875" bestFit="1" customWidth="1"/>
    <col min="2" max="2" width="9.140625" style="4"/>
    <col min="4" max="4" width="17" bestFit="1" customWidth="1"/>
  </cols>
  <sheetData>
    <row r="1" spans="1:5">
      <c r="A1" s="2" t="s">
        <v>1606</v>
      </c>
      <c r="B1" s="3" t="s">
        <v>1607</v>
      </c>
      <c r="D1" s="2" t="s">
        <v>1606</v>
      </c>
      <c r="E1" s="3" t="s">
        <v>1718</v>
      </c>
    </row>
    <row r="2" spans="1:5">
      <c r="A2" t="s">
        <v>307</v>
      </c>
      <c r="B2" s="4">
        <v>0</v>
      </c>
      <c r="D2" t="s">
        <v>1822</v>
      </c>
      <c r="E2" s="310">
        <v>0</v>
      </c>
    </row>
    <row r="3" spans="1:5">
      <c r="A3" t="s">
        <v>1608</v>
      </c>
      <c r="B3" s="4">
        <v>0.02</v>
      </c>
      <c r="D3" t="s">
        <v>1819</v>
      </c>
      <c r="E3" s="310">
        <v>0.1</v>
      </c>
    </row>
    <row r="4" spans="1:5">
      <c r="A4" t="s">
        <v>1609</v>
      </c>
      <c r="B4" s="4">
        <v>1.4999999999999999E-2</v>
      </c>
      <c r="D4" t="s">
        <v>1820</v>
      </c>
      <c r="E4" s="310">
        <v>0.1</v>
      </c>
    </row>
    <row r="5" spans="1:5">
      <c r="A5" t="s">
        <v>1610</v>
      </c>
      <c r="B5" s="4">
        <v>1.4999999999999999E-2</v>
      </c>
      <c r="D5" t="s">
        <v>1821</v>
      </c>
      <c r="E5" s="310">
        <v>0.08</v>
      </c>
    </row>
    <row r="6" spans="1:5">
      <c r="A6" t="s">
        <v>1611</v>
      </c>
      <c r="B6" s="4">
        <v>0.02</v>
      </c>
    </row>
    <row r="7" spans="1:5">
      <c r="A7" t="s">
        <v>1612</v>
      </c>
      <c r="B7" s="4">
        <v>0.01</v>
      </c>
    </row>
    <row r="8" spans="1:5">
      <c r="A8" t="s">
        <v>1613</v>
      </c>
      <c r="B8" s="4">
        <v>0.02</v>
      </c>
    </row>
    <row r="9" spans="1:5">
      <c r="A9" t="s">
        <v>1614</v>
      </c>
      <c r="B9" s="4">
        <v>0.04</v>
      </c>
    </row>
    <row r="10" spans="1:5">
      <c r="A10" t="s">
        <v>1615</v>
      </c>
      <c r="B10" s="4">
        <v>0.03</v>
      </c>
    </row>
    <row r="11" spans="1:5">
      <c r="A11" t="s">
        <v>1616</v>
      </c>
      <c r="B11" s="4">
        <v>0.02</v>
      </c>
    </row>
    <row r="12" spans="1:5">
      <c r="A12" t="s">
        <v>1617</v>
      </c>
      <c r="B12" s="4">
        <v>0.03</v>
      </c>
    </row>
    <row r="13" spans="1:5">
      <c r="A13" t="s">
        <v>1618</v>
      </c>
      <c r="B13" s="4">
        <v>0.03</v>
      </c>
    </row>
    <row r="14" spans="1:5">
      <c r="A14" t="s">
        <v>1619</v>
      </c>
      <c r="B14" s="4">
        <v>0.04</v>
      </c>
    </row>
    <row r="15" spans="1:5">
      <c r="A15" t="s">
        <v>1620</v>
      </c>
      <c r="B15" s="4">
        <v>0.02</v>
      </c>
    </row>
    <row r="16" spans="1:5">
      <c r="A16" t="s">
        <v>1621</v>
      </c>
      <c r="B16" s="4">
        <v>1.4999999999999999E-2</v>
      </c>
    </row>
    <row r="17" spans="1:2">
      <c r="A17" t="s">
        <v>1622</v>
      </c>
      <c r="B17" s="4">
        <v>0.02</v>
      </c>
    </row>
    <row r="18" spans="1:2">
      <c r="A18" t="s">
        <v>1623</v>
      </c>
      <c r="B18" s="4">
        <v>0.01</v>
      </c>
    </row>
  </sheetData>
  <pageMargins left="0.7" right="0.7" top="0.75" bottom="0.75" header="0.3" footer="0.3"/>
  <headerFooter>
    <oddFooter>&amp;C_x000D_&amp;1#&amp;"Calibri"&amp;10&amp;KFFFF00 C1-Intern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E383-EAB8-4E9E-92B4-A217FCFCA9D7}">
  <dimension ref="A1:E7"/>
  <sheetViews>
    <sheetView workbookViewId="0"/>
  </sheetViews>
  <sheetFormatPr defaultRowHeight="15"/>
  <cols>
    <col min="1" max="1" width="14.85546875" bestFit="1" customWidth="1"/>
    <col min="3" max="3" width="15.85546875" bestFit="1" customWidth="1"/>
    <col min="5" max="5" width="11.140625" bestFit="1" customWidth="1"/>
  </cols>
  <sheetData>
    <row r="1" spans="1:5">
      <c r="A1" s="2" t="s">
        <v>1624</v>
      </c>
      <c r="C1" s="2" t="s">
        <v>1625</v>
      </c>
      <c r="E1" s="2" t="s">
        <v>1626</v>
      </c>
    </row>
    <row r="2" spans="1:5">
      <c r="A2" t="s">
        <v>1627</v>
      </c>
      <c r="C2" t="s">
        <v>1628</v>
      </c>
      <c r="E2" t="s">
        <v>1629</v>
      </c>
    </row>
    <row r="3" spans="1:5">
      <c r="A3" t="s">
        <v>101</v>
      </c>
      <c r="C3" t="s">
        <v>103</v>
      </c>
      <c r="E3" t="s">
        <v>108</v>
      </c>
    </row>
    <row r="4" spans="1:5">
      <c r="A4" t="s">
        <v>1630</v>
      </c>
      <c r="C4" t="s">
        <v>1631</v>
      </c>
      <c r="E4" t="s">
        <v>1632</v>
      </c>
    </row>
    <row r="5" spans="1:5">
      <c r="A5" t="s">
        <v>100</v>
      </c>
      <c r="C5" t="s">
        <v>1633</v>
      </c>
    </row>
    <row r="6" spans="1:5">
      <c r="C6" t="s">
        <v>1634</v>
      </c>
    </row>
    <row r="7" spans="1:5">
      <c r="C7" t="s">
        <v>100</v>
      </c>
    </row>
  </sheetData>
  <sheetProtection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42AC-9801-428C-B6A8-635C45339B3C}">
  <dimension ref="A1:A6"/>
  <sheetViews>
    <sheetView workbookViewId="0"/>
  </sheetViews>
  <sheetFormatPr defaultRowHeight="15"/>
  <cols>
    <col min="1" max="1" width="20.7109375" bestFit="1" customWidth="1"/>
  </cols>
  <sheetData>
    <row r="1" spans="1:1">
      <c r="A1" s="2" t="s">
        <v>1751</v>
      </c>
    </row>
    <row r="2" spans="1:1">
      <c r="A2" t="s">
        <v>1752</v>
      </c>
    </row>
    <row r="3" spans="1:1">
      <c r="A3" t="s">
        <v>1755</v>
      </c>
    </row>
    <row r="4" spans="1:1">
      <c r="A4" t="s">
        <v>1754</v>
      </c>
    </row>
    <row r="5" spans="1:1">
      <c r="A5" t="s">
        <v>1756</v>
      </c>
    </row>
    <row r="6" spans="1:1">
      <c r="A6" t="s">
        <v>1753</v>
      </c>
    </row>
  </sheetData>
  <sheetProtection sheet="1" objects="1" scenarios="1"/>
  <autoFilter ref="A1:A6" xr:uid="{BEB242AC-9801-428C-B6A8-635C45339B3C}">
    <sortState xmlns:xlrd2="http://schemas.microsoft.com/office/spreadsheetml/2017/richdata2" ref="A2:A6">
      <sortCondition ref="A1:A6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4FD479C0098D47AD887BB3FADF5A97" ma:contentTypeVersion="16" ma:contentTypeDescription="Create a new document." ma:contentTypeScope="" ma:versionID="ba896d1a6b08c2e0e4a192d50990d25e">
  <xsd:schema xmlns:xsd="http://www.w3.org/2001/XMLSchema" xmlns:xs="http://www.w3.org/2001/XMLSchema" xmlns:p="http://schemas.microsoft.com/office/2006/metadata/properties" xmlns:ns2="d3f10b60-3cbd-4d23-b5c5-4759002a3664" xmlns:ns3="8e912f10-1dfe-474b-bcae-1facfb945311" targetNamespace="http://schemas.microsoft.com/office/2006/metadata/properties" ma:root="true" ma:fieldsID="3b0a630885d3fc6d9a59ccde8a894772" ns2:_="" ns3:_="">
    <xsd:import namespace="d3f10b60-3cbd-4d23-b5c5-4759002a3664"/>
    <xsd:import namespace="8e912f10-1dfe-474b-bcae-1facfb9453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f10b60-3cbd-4d23-b5c5-4759002a36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3a5a08-bdb1-493c-bc0f-6a02678610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912f10-1dfe-474b-bcae-1facfb94531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4876242f-27cd-4128-897f-6c186f38cf7d}" ma:internalName="TaxCatchAll" ma:showField="CatchAllData" ma:web="8e912f10-1dfe-474b-bcae-1facfb9453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e912f10-1dfe-474b-bcae-1facfb945311" xsi:nil="true"/>
    <lcf76f155ced4ddcb4097134ff3c332f xmlns="d3f10b60-3cbd-4d23-b5c5-4759002a366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A0416FF-7000-40C8-8550-27AE3CE0AE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B4DA39-B761-43B0-9139-ED353F52779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d3f10b60-3cbd-4d23-b5c5-4759002a3664"/>
    <ds:schemaRef ds:uri="8e912f10-1dfe-474b-bcae-1facfb945311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277654-319B-4D81-9A2F-FC975DF74CE8}">
  <ds:schemaRefs>
    <ds:schemaRef ds:uri="http://purl.org/dc/elements/1.1/"/>
    <ds:schemaRef ds:uri="8e912f10-1dfe-474b-bcae-1facfb945311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d3f10b60-3cbd-4d23-b5c5-4759002a3664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Benoemde bereiken</vt:lpstr>
      </vt:variant>
      <vt:variant>
        <vt:i4>1</vt:i4>
      </vt:variant>
    </vt:vector>
  </HeadingPairs>
  <TitlesOfParts>
    <vt:vector size="17" baseType="lpstr">
      <vt:lpstr>Info</vt:lpstr>
      <vt:lpstr>Mat. lijst</vt:lpstr>
      <vt:lpstr>Budget voor admin</vt:lpstr>
      <vt:lpstr>Quotation sheet</vt:lpstr>
      <vt:lpstr>Calculatie</vt:lpstr>
      <vt:lpstr>YIMM</vt:lpstr>
      <vt:lpstr>Soort voorraad</vt:lpstr>
      <vt:lpstr>DGC ledenlijst</vt:lpstr>
      <vt:lpstr>Berek. harde koelleiding</vt:lpstr>
      <vt:lpstr>Berek. kabelgoot</vt:lpstr>
      <vt:lpstr>Berek. condensafvoerleiding </vt:lpstr>
      <vt:lpstr>Berek. PVC dakleidingen</vt:lpstr>
      <vt:lpstr>Parkeertarieven</vt:lpstr>
      <vt:lpstr>Omzetbonus+Provisie</vt:lpstr>
      <vt:lpstr>Systemen</vt:lpstr>
      <vt:lpstr>PL's</vt:lpstr>
      <vt:lpstr>'Mat. lijst'!Afdrukbereik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15947 Calculatieblad</dc:title>
  <dc:subject/>
  <dc:creator>BEKKERS Paul</dc:creator>
  <cp:keywords/>
  <dc:description/>
  <cp:lastModifiedBy>BEKKERS Paul</cp:lastModifiedBy>
  <cp:revision/>
  <cp:lastPrinted>2026-06-11T11:50:30Z</cp:lastPrinted>
  <dcterms:created xsi:type="dcterms:W3CDTF">2025-03-27T08:27:33Z</dcterms:created>
  <dcterms:modified xsi:type="dcterms:W3CDTF">2026-08-03T09:35:19Z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c815cf-38b4-4e89-a935-ed67bba0f01f_Enabled">
    <vt:lpwstr>true</vt:lpwstr>
  </property>
  <property fmtid="{D5CDD505-2E9C-101B-9397-08002B2CF9AE}" pid="3" name="MSIP_Label_5ac815cf-38b4-4e89-a935-ed67bba0f01f_SetDate">
    <vt:lpwstr>2025-04-03T09:50:07Z</vt:lpwstr>
  </property>
  <property fmtid="{D5CDD505-2E9C-101B-9397-08002B2CF9AE}" pid="4" name="MSIP_Label_5ac815cf-38b4-4e89-a935-ed67bba0f01f_Method">
    <vt:lpwstr>Standard</vt:lpwstr>
  </property>
  <property fmtid="{D5CDD505-2E9C-101B-9397-08002B2CF9AE}" pid="5" name="MSIP_Label_5ac815cf-38b4-4e89-a935-ed67bba0f01f_Name">
    <vt:lpwstr>NL -  C1-Intern use</vt:lpwstr>
  </property>
  <property fmtid="{D5CDD505-2E9C-101B-9397-08002B2CF9AE}" pid="6" name="MSIP_Label_5ac815cf-38b4-4e89-a935-ed67bba0f01f_SiteId">
    <vt:lpwstr>cae7d061-08f3-40dd-80c3-3c0b8889224a</vt:lpwstr>
  </property>
  <property fmtid="{D5CDD505-2E9C-101B-9397-08002B2CF9AE}" pid="7" name="MSIP_Label_5ac815cf-38b4-4e89-a935-ed67bba0f01f_ActionId">
    <vt:lpwstr>14d92d97-2439-4c70-99b8-859fceb6bcd4</vt:lpwstr>
  </property>
  <property fmtid="{D5CDD505-2E9C-101B-9397-08002B2CF9AE}" pid="8" name="MSIP_Label_5ac815cf-38b4-4e89-a935-ed67bba0f01f_ContentBits">
    <vt:lpwstr>2</vt:lpwstr>
  </property>
  <property fmtid="{D5CDD505-2E9C-101B-9397-08002B2CF9AE}" pid="9" name="MSIP_Label_5ac815cf-38b4-4e89-a935-ed67bba0f01f_Tag">
    <vt:lpwstr>10, 3, 0, 1</vt:lpwstr>
  </property>
  <property fmtid="{D5CDD505-2E9C-101B-9397-08002B2CF9AE}" pid="10" name="ContentTypeId">
    <vt:lpwstr>0x010100474FD479C0098D47AD887BB3FADF5A97</vt:lpwstr>
  </property>
  <property fmtid="{D5CDD505-2E9C-101B-9397-08002B2CF9AE}" pid="11" name="MediaServiceImageTags">
    <vt:lpwstr/>
  </property>
</Properties>
</file>